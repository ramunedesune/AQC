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busia\ドキュメント\AQC\src\"/>
    </mc:Choice>
  </mc:AlternateContent>
  <xr:revisionPtr revIDLastSave="0" documentId="13_ncr:1_{332360CF-ADAB-4A86-9C80-0B8C762B4FB4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master" sheetId="1" r:id="rId1"/>
    <sheet name="抽出" sheetId="3" r:id="rId2"/>
    <sheet name="報告書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4" l="1" a="1"/>
  <c r="E12" i="4" a="1"/>
  <c r="F12" i="4" a="1"/>
  <c r="G12" i="4" a="1"/>
  <c r="H12" i="4" a="1"/>
  <c r="C12" i="4" a="1"/>
  <c r="J2" i="3" a="1"/>
  <c r="K2" i="3" a="1"/>
  <c r="L2" i="3" a="1"/>
  <c r="M2" i="3" a="1"/>
  <c r="I2" i="3" a="1"/>
  <c r="H2" i="3" a="1"/>
  <c r="A2" i="3" a="1"/>
  <c r="B2" i="3" a="1"/>
  <c r="C2" i="3" a="1"/>
  <c r="D2" i="3" a="1"/>
  <c r="E2" i="3" a="1"/>
  <c r="F2" i="3" a="1"/>
  <c r="G2" i="3" a="1"/>
  <c r="C16" i="4"/>
  <c r="D16" i="4"/>
  <c r="E16" i="4"/>
  <c r="F16" i="4"/>
  <c r="G16" i="4"/>
  <c r="H16" i="4"/>
  <c r="C17" i="4"/>
  <c r="D17" i="4"/>
  <c r="E17" i="4"/>
  <c r="F17" i="4"/>
  <c r="G17" i="4"/>
  <c r="H17" i="4"/>
  <c r="C18" i="4"/>
  <c r="D18" i="4"/>
  <c r="E18" i="4"/>
  <c r="F18" i="4"/>
  <c r="G18" i="4"/>
  <c r="H18" i="4"/>
  <c r="C19" i="4"/>
  <c r="D19" i="4"/>
  <c r="E19" i="4"/>
  <c r="F19" i="4"/>
  <c r="G19" i="4"/>
  <c r="H19" i="4"/>
  <c r="C20" i="4"/>
  <c r="D20" i="4"/>
  <c r="E20" i="4"/>
  <c r="F20" i="4"/>
  <c r="G20" i="4"/>
  <c r="H20" i="4"/>
  <c r="C21" i="4"/>
  <c r="D21" i="4"/>
  <c r="E21" i="4"/>
  <c r="F21" i="4"/>
  <c r="G21" i="4"/>
  <c r="H21" i="4"/>
  <c r="C22" i="4"/>
  <c r="D22" i="4"/>
  <c r="E22" i="4"/>
  <c r="F22" i="4"/>
  <c r="G22" i="4"/>
  <c r="H22" i="4"/>
  <c r="C23" i="4"/>
  <c r="D23" i="4"/>
  <c r="E23" i="4"/>
  <c r="F23" i="4"/>
  <c r="G23" i="4"/>
  <c r="H23" i="4"/>
  <c r="C24" i="4"/>
  <c r="D24" i="4"/>
  <c r="E24" i="4"/>
  <c r="F24" i="4"/>
  <c r="G24" i="4"/>
  <c r="H24" i="4"/>
  <c r="C25" i="4"/>
  <c r="D25" i="4"/>
  <c r="E25" i="4"/>
  <c r="F25" i="4"/>
  <c r="G25" i="4"/>
  <c r="H25" i="4"/>
  <c r="C26" i="4"/>
  <c r="D26" i="4"/>
  <c r="E26" i="4"/>
  <c r="F26" i="4"/>
  <c r="G26" i="4"/>
  <c r="H26" i="4"/>
  <c r="C27" i="4"/>
  <c r="D27" i="4"/>
  <c r="E27" i="4"/>
  <c r="F27" i="4"/>
  <c r="G27" i="4"/>
  <c r="H27" i="4"/>
  <c r="C28" i="4"/>
  <c r="D28" i="4"/>
  <c r="E28" i="4"/>
  <c r="F28" i="4"/>
  <c r="G28" i="4"/>
  <c r="H28" i="4"/>
  <c r="C29" i="4"/>
  <c r="D29" i="4"/>
  <c r="E29" i="4"/>
  <c r="F29" i="4"/>
  <c r="G29" i="4"/>
  <c r="H29" i="4"/>
  <c r="C30" i="4"/>
  <c r="D30" i="4"/>
  <c r="E30" i="4"/>
  <c r="F30" i="4"/>
  <c r="G30" i="4"/>
  <c r="H30" i="4"/>
  <c r="C31" i="4"/>
  <c r="D31" i="4"/>
  <c r="E31" i="4"/>
  <c r="F31" i="4"/>
  <c r="G31" i="4"/>
  <c r="H31" i="4"/>
  <c r="C32" i="4"/>
  <c r="D32" i="4"/>
  <c r="E32" i="4"/>
  <c r="F32" i="4"/>
  <c r="G32" i="4"/>
  <c r="H32" i="4"/>
  <c r="C33" i="4"/>
  <c r="D33" i="4"/>
  <c r="E33" i="4"/>
  <c r="F33" i="4"/>
  <c r="G33" i="4"/>
  <c r="H33" i="4"/>
  <c r="C34" i="4"/>
  <c r="D34" i="4"/>
  <c r="E34" i="4"/>
  <c r="F34" i="4"/>
  <c r="G34" i="4"/>
  <c r="H34" i="4"/>
  <c r="C35" i="4"/>
  <c r="D35" i="4"/>
  <c r="E35" i="4"/>
  <c r="F35" i="4"/>
  <c r="G35" i="4"/>
  <c r="H35" i="4"/>
  <c r="C36" i="4"/>
  <c r="D36" i="4"/>
  <c r="E36" i="4"/>
  <c r="F36" i="4"/>
  <c r="G36" i="4"/>
  <c r="H36" i="4"/>
  <c r="B12" i="4" a="1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B48" i="4"/>
  <c r="B46" i="4"/>
  <c r="B44" i="4"/>
  <c r="B42" i="4"/>
  <c r="B40" i="4"/>
  <c r="B38" i="4"/>
  <c r="B36" i="4"/>
  <c r="B34" i="4"/>
  <c r="B32" i="4"/>
  <c r="B30" i="4"/>
  <c r="B28" i="4"/>
  <c r="B26" i="4"/>
  <c r="B24" i="4"/>
  <c r="B22" i="4"/>
  <c r="B20" i="4"/>
  <c r="B18" i="4"/>
  <c r="I12" i="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<sst xmlns="http://schemas.openxmlformats.org/spreadsheetml/2006/main" count="51" uniqueCount="30">
  <si>
    <t>部屋</t>
  </si>
  <si>
    <t>名称</t>
  </si>
  <si>
    <t>メーカ</t>
  </si>
  <si>
    <t>型式</t>
  </si>
  <si>
    <t>全社連番</t>
  </si>
  <si>
    <t>管理No.</t>
  </si>
  <si>
    <t>管理部署</t>
  </si>
  <si>
    <t>有効期限</t>
  </si>
  <si>
    <t>電波暗室1</t>
    <rPh sb="0" eb="4">
      <t>デンパアンシツ</t>
    </rPh>
    <phoneticPr fontId="1"/>
  </si>
  <si>
    <r>
      <rPr>
        <sz val="11"/>
        <color theme="1"/>
        <rFont val="ＭＳ ゴシック"/>
        <family val="3"/>
        <charset val="128"/>
      </rPr>
      <t>部屋</t>
    </r>
    <r>
      <rPr>
        <sz val="11"/>
        <color theme="1"/>
        <rFont val="Arial"/>
        <family val="2"/>
      </rPr>
      <t>1</t>
    </r>
    <rPh sb="0" eb="2">
      <t>ヘヤ</t>
    </rPh>
    <phoneticPr fontId="1"/>
  </si>
  <si>
    <t>モビエレ</t>
  </si>
  <si>
    <t>電波暗室2</t>
    <rPh sb="0" eb="4">
      <t>デンパアンシツ</t>
    </rPh>
    <phoneticPr fontId="1"/>
  </si>
  <si>
    <t>部屋2</t>
    <rPh sb="0" eb="2">
      <t>ヘヤ</t>
    </rPh>
    <phoneticPr fontId="1"/>
  </si>
  <si>
    <t>スペアナ</t>
  </si>
  <si>
    <t>ラインレシーバ</t>
  </si>
  <si>
    <t>報告書</t>
    <rPh sb="0" eb="3">
      <t>ホウコクショ</t>
    </rPh>
    <phoneticPr fontId="2"/>
  </si>
  <si>
    <t>試験・測定機器一覧</t>
    <rPh sb="0" eb="2">
      <t>シケン</t>
    </rPh>
    <rPh sb="3" eb="9">
      <t>ソクテイキキイチラン</t>
    </rPh>
    <phoneticPr fontId="2"/>
  </si>
  <si>
    <t>&lt;常設機器&gt;</t>
    <rPh sb="1" eb="3">
      <t>ジョウセツ</t>
    </rPh>
    <rPh sb="3" eb="5">
      <t>キキ</t>
    </rPh>
    <phoneticPr fontId="2"/>
  </si>
  <si>
    <t>名称</t>
    <rPh sb="0" eb="2">
      <t>メイショウ</t>
    </rPh>
    <phoneticPr fontId="2"/>
  </si>
  <si>
    <t>全社連番</t>
    <rPh sb="0" eb="4">
      <t>ゼンシャレンバン</t>
    </rPh>
    <phoneticPr fontId="2"/>
  </si>
  <si>
    <t>管理No.</t>
    <rPh sb="0" eb="2">
      <t>カンリ</t>
    </rPh>
    <phoneticPr fontId="2"/>
  </si>
  <si>
    <t>有効期限</t>
    <rPh sb="0" eb="4">
      <t>ユウコウキゲン</t>
    </rPh>
    <phoneticPr fontId="2"/>
  </si>
  <si>
    <t>型式</t>
    <rPh sb="0" eb="2">
      <t>カタシキ</t>
    </rPh>
    <phoneticPr fontId="2"/>
  </si>
  <si>
    <t>管理部署</t>
    <rPh sb="0" eb="4">
      <t>カンリブショ</t>
    </rPh>
    <phoneticPr fontId="2"/>
  </si>
  <si>
    <t>使用期間</t>
    <rPh sb="0" eb="4">
      <t>シヨウキカン</t>
    </rPh>
    <phoneticPr fontId="2"/>
  </si>
  <si>
    <t>使用環境</t>
    <rPh sb="0" eb="4">
      <t>シヨウカンキョウ</t>
    </rPh>
    <phoneticPr fontId="2"/>
  </si>
  <si>
    <t>試験名</t>
    <rPh sb="0" eb="3">
      <t>シケンメイ</t>
    </rPh>
    <phoneticPr fontId="2"/>
  </si>
  <si>
    <t>入力日時</t>
    <rPh sb="0" eb="4">
      <t>ニュウリョクニチジ</t>
    </rPh>
    <phoneticPr fontId="2"/>
  </si>
  <si>
    <t>メーカ</t>
    <phoneticPr fontId="2"/>
  </si>
  <si>
    <t>LISN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</si>
</sst>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800]dddd\,\ mmmm\ dd\,\ yyyy"/>
  </numFmts>
  <fonts count="8">
    <font>
      <sz val="11"/>
      <color theme="1"/>
      <name val="Yu Gothic"/>
      <family val="2"/>
      <scheme val="minor"/>
    </font>
    <font>
      <b/>
      <sz val="15"/>
      <color theme="3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11"/>
      <color theme="1"/>
      <name val="Arial"/>
      <family val="2"/>
    </font>
    <font>
      <sz val="11"/>
      <color theme="1"/>
      <name val="ＭＳ ゴシック"/>
      <family val="3"/>
      <charset val="128"/>
    </font>
    <font>
      <b/>
      <sz val="11"/>
      <color theme="0"/>
      <name val="Yu Gothic"/>
      <family val="2"/>
      <scheme val="minor"/>
    </font>
    <font>
      <b/>
      <sz val="22"/>
      <color theme="1"/>
      <name val="Yu Gothic"/>
      <family val="3"/>
      <charset val="128"/>
      <scheme val="minor"/>
    </font>
    <font>
      <sz val="11"/>
      <color theme="1"/>
      <name val="Yu Gothic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5" fillId="2" borderId="2" xfId="0" applyFont="1" applyFill="1" applyBorder="1"/>
    <xf numFmtId="176" fontId="0" fillId="0" borderId="0" xfId="0" applyNumberFormat="1"/>
    <xf numFmtId="176" fontId="5" fillId="2" borderId="3" xfId="0" applyNumberFormat="1" applyFont="1" applyFill="1" applyBorder="1"/>
    <xf numFmtId="176" fontId="0" fillId="0" borderId="1" xfId="0" applyNumberForma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7" fillId="0" borderId="1" xfId="0" applyFont="1" applyBorder="1"/>
    <xf numFmtId="0" fontId="7" fillId="0" borderId="0" xfId="0" applyFont="1"/>
    <xf numFmtId="0" fontId="0" fillId="3" borderId="0" xfId="0" applyFill="1" applyBorder="1" applyAlignment="1">
      <alignment vertical="center"/>
    </xf>
    <xf numFmtId="0" fontId="7" fillId="3" borderId="0" xfId="0" applyFont="1" applyFill="1" applyBorder="1" applyAlignment="1">
      <alignment vertical="center"/>
    </xf>
    <xf numFmtId="0" fontId="0" fillId="3" borderId="0" xfId="0" applyFill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 vertical="center"/>
    </xf>
    <xf numFmtId="176" fontId="0" fillId="0" borderId="0" xfId="0" applyNumberForma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</cellXfs>
  <cellStyles count="1">
    <cellStyle name="標準" xfId="0" builtinId="0"/>
  </cellStyles>
  <dxfs count="1">
    <dxf>
      <numFmt numFmtId="176" formatCode="[$-F800]dddd\,\ mmmm\ dd\,\ 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2A9D70B-20B3-4888-97AD-7B4FE0731EC9}" name="T_常設機器一覧表" displayName="T_常設機器一覧表" ref="A1:H8" totalsRowShown="0">
  <autoFilter ref="A1:H8" xr:uid="{F2A9D70B-20B3-4888-97AD-7B4FE0731EC9}"/>
  <tableColumns count="8">
    <tableColumn id="1" xr3:uid="{A2BA82C3-78DA-4B0E-88A8-6A86B3083CCC}" name="部屋"/>
    <tableColumn id="2" xr3:uid="{B710324D-7AFE-425A-B1AF-A56E44CF1075}" name="名称"/>
    <tableColumn id="3" xr3:uid="{FDF21234-8D8F-4531-9447-1C7811270B58}" name="メーカ"/>
    <tableColumn id="4" xr3:uid="{A1580059-C3C9-45D6-8A76-E63594718881}" name="型式"/>
    <tableColumn id="5" xr3:uid="{46EF6F9A-846B-4B4F-A59A-0D04BF1E58A9}" name="全社連番"/>
    <tableColumn id="6" xr3:uid="{A4238AFD-A241-49CE-9FC6-5C7849D3E765}" name="管理No."/>
    <tableColumn id="7" xr3:uid="{5CF0736D-C1E3-4F0F-A5B3-7B39FF9B05A6}" name="管理部署"/>
    <tableColumn id="8" xr3:uid="{1221C6D5-063D-40F7-A934-19E93FF7EBC5}" name="有効期限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workbookViewId="0">
      <selection activeCell="D10" sqref="D10"/>
    </sheetView>
  </sheetViews>
  <sheetFormatPr defaultRowHeight="18"/>
  <cols>
    <col min="1" max="1" width="9.59765625" bestFit="1" customWidth="1"/>
    <col min="2" max="2" width="18.296875" bestFit="1" customWidth="1"/>
    <col min="3" max="3" width="8" customWidth="1"/>
    <col min="4" max="4" width="6.19921875" customWidth="1"/>
    <col min="5" max="5" width="9.796875" customWidth="1"/>
    <col min="6" max="6" width="9.19921875" customWidth="1"/>
    <col min="7" max="7" width="9.796875" customWidth="1"/>
    <col min="8" max="8" width="14.0976562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11</v>
      </c>
      <c r="D2">
        <v>12</v>
      </c>
      <c r="E2">
        <v>1111111</v>
      </c>
      <c r="F2">
        <v>1</v>
      </c>
      <c r="G2" t="s">
        <v>10</v>
      </c>
      <c r="H2" s="3">
        <v>46173</v>
      </c>
    </row>
    <row r="3" spans="1:8">
      <c r="A3" t="s">
        <v>8</v>
      </c>
      <c r="B3" t="s">
        <v>13</v>
      </c>
      <c r="C3">
        <v>13</v>
      </c>
      <c r="D3">
        <v>14</v>
      </c>
      <c r="E3">
        <v>1111112</v>
      </c>
      <c r="F3">
        <v>2</v>
      </c>
      <c r="G3" t="s">
        <v>10</v>
      </c>
      <c r="H3" s="3">
        <v>46174</v>
      </c>
    </row>
    <row r="4" spans="1:8">
      <c r="A4" t="s">
        <v>8</v>
      </c>
      <c r="B4" t="s">
        <v>14</v>
      </c>
      <c r="C4">
        <v>15</v>
      </c>
      <c r="D4">
        <v>16</v>
      </c>
      <c r="E4">
        <v>1111113</v>
      </c>
      <c r="F4">
        <v>3</v>
      </c>
      <c r="G4" t="s">
        <v>10</v>
      </c>
      <c r="H4" s="3">
        <v>46175</v>
      </c>
    </row>
    <row r="5" spans="1:8">
      <c r="A5" t="s">
        <v>8</v>
      </c>
      <c r="B5" t="s">
        <v>29</v>
      </c>
      <c r="C5">
        <v>15</v>
      </c>
      <c r="D5">
        <v>16</v>
      </c>
      <c r="E5">
        <v>1111113</v>
      </c>
      <c r="F5">
        <v>3</v>
      </c>
      <c r="G5" t="s">
        <v>10</v>
      </c>
      <c r="H5" s="3">
        <v>46175</v>
      </c>
    </row>
    <row r="6" spans="1:8">
      <c r="A6" t="s">
        <v>11</v>
      </c>
      <c r="B6" t="s">
        <v>12</v>
      </c>
      <c r="C6">
        <v>17</v>
      </c>
      <c r="D6">
        <v>18</v>
      </c>
      <c r="E6">
        <v>1111114</v>
      </c>
      <c r="F6">
        <v>4</v>
      </c>
      <c r="G6" t="s">
        <v>10</v>
      </c>
      <c r="H6" s="3">
        <v>46176</v>
      </c>
    </row>
    <row r="7" spans="1:8">
      <c r="A7" t="s">
        <v>11</v>
      </c>
      <c r="B7" t="s">
        <v>13</v>
      </c>
      <c r="C7">
        <v>19</v>
      </c>
      <c r="D7">
        <v>20</v>
      </c>
      <c r="E7">
        <v>1111115</v>
      </c>
      <c r="F7">
        <v>5</v>
      </c>
      <c r="G7" t="s">
        <v>10</v>
      </c>
      <c r="H7" s="3">
        <v>46177</v>
      </c>
    </row>
    <row r="8" spans="1:8">
      <c r="A8" t="s">
        <v>11</v>
      </c>
      <c r="B8" t="s">
        <v>14</v>
      </c>
      <c r="C8">
        <v>21</v>
      </c>
      <c r="D8">
        <v>22</v>
      </c>
      <c r="E8">
        <v>1111116</v>
      </c>
      <c r="F8">
        <v>6</v>
      </c>
      <c r="G8" t="s">
        <v>10</v>
      </c>
      <c r="H8" s="3">
        <v>46178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02E3C-5536-482B-BEAB-22625BECE884}">
  <dimension ref="A1:M4"/>
  <sheetViews>
    <sheetView tabSelected="1" workbookViewId="0">
      <selection activeCell="M2" sqref="M2"/>
    </sheetView>
  </sheetViews>
  <sheetFormatPr defaultRowHeight="18"/>
  <cols>
    <col min="1" max="1" width="23.59765625" customWidth="1"/>
    <col min="2" max="6" width="23.59765625" hidden="1" customWidth="1"/>
    <col min="7" max="7" width="23.59765625" style="3" hidden="1" customWidth="1"/>
  </cols>
  <sheetData>
    <row r="1" spans="1:13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4" t="s">
        <v>7</v>
      </c>
    </row>
    <row r="2" spans="1:13">
      <c r="A2" t="str" cm="1">
        <f t="array" ref="A2:A4">_xlfn._xlws.FILTER(master!B:B, (master!$A:$A=報告書!$B$7), "該当なし")</f>
        <v>部屋2</v>
      </c>
      <c r="B2" cm="1">
        <f t="array" ref="B2:B4">_xlfn._xlws.FILTER(master!C:C, (master!$A:$A=報告書!$B$7), "該当なし")</f>
        <v>17</v>
      </c>
      <c r="C2" cm="1">
        <f t="array" ref="C2:C4">_xlfn._xlws.FILTER(master!D:D, (master!$A:$A=報告書!$B$7), "該当なし")</f>
        <v>18</v>
      </c>
      <c r="D2" cm="1">
        <f t="array" ref="D2:D4">_xlfn._xlws.FILTER(master!E:E, (master!$A:$A=報告書!$B$7), "該当なし")</f>
        <v>1111114</v>
      </c>
      <c r="E2" cm="1">
        <f t="array" ref="E2:E4">_xlfn._xlws.FILTER(master!F:F, (master!$A:$A=報告書!$B$7), "該当なし")</f>
        <v>4</v>
      </c>
      <c r="F2" t="str" cm="1">
        <f t="array" ref="F2:F4">_xlfn._xlws.FILTER(master!G:G, (master!$A:$A=報告書!$B$7), "該当なし")</f>
        <v>モビエレ</v>
      </c>
      <c r="G2" cm="1">
        <f t="array" ref="G2:G4">_xlfn._xlws.FILTER(master!H:H, (master!$A:$A=報告書!$B$7), "該当なし")</f>
        <v>46176</v>
      </c>
      <c r="H2" cm="1">
        <f t="array" ref="H2:H4">_xlfn._xlws.FILTER(master!C:C, (master!$A:$A=報告書!$B$7), "該当なし")</f>
        <v>17</v>
      </c>
      <c r="I2" cm="1">
        <f t="array" ref="I2:I4">_xlfn._xlws.FILTER(master!D:D, (master!$A:$A=報告書!$B$7), "該当なし")</f>
        <v>18</v>
      </c>
      <c r="J2" cm="1">
        <f t="array" ref="J2:J4">_xlfn._xlws.FILTER(master!E:E, (master!$A:$A=報告書!$B$7), "該当なし")</f>
        <v>1111114</v>
      </c>
      <c r="K2" cm="1">
        <f t="array" ref="K2:K4">_xlfn._xlws.FILTER(master!F:F, (master!$A:$A=報告書!$B$7), "該当なし")</f>
        <v>4</v>
      </c>
      <c r="L2" t="str" cm="1">
        <f t="array" ref="L2:L4">_xlfn._xlws.FILTER(master!G:G, (master!$A:$A=報告書!$B$7), "該当なし")</f>
        <v>モビエレ</v>
      </c>
      <c r="M2" cm="1">
        <f t="array" ref="M2:M4">_xlfn._xlws.FILTER(master!H:H, (master!$A:$A=報告書!$B$7), "該当なし")</f>
        <v>46176</v>
      </c>
    </row>
    <row r="3" spans="1:13">
      <c r="A3" t="str">
        <v>スペアナ</v>
      </c>
      <c r="B3">
        <v>19</v>
      </c>
      <c r="C3">
        <v>20</v>
      </c>
      <c r="D3">
        <v>1111115</v>
      </c>
      <c r="E3">
        <v>5</v>
      </c>
      <c r="F3" t="str">
        <v>モビエレ</v>
      </c>
      <c r="G3">
        <v>46177</v>
      </c>
      <c r="H3">
        <v>19</v>
      </c>
      <c r="I3">
        <v>20</v>
      </c>
      <c r="J3">
        <v>1111115</v>
      </c>
      <c r="K3">
        <v>5</v>
      </c>
      <c r="L3" t="str">
        <v>モビエレ</v>
      </c>
      <c r="M3">
        <v>46177</v>
      </c>
    </row>
    <row r="4" spans="1:13">
      <c r="A4" t="str">
        <v>ラインレシーバ</v>
      </c>
      <c r="B4">
        <v>21</v>
      </c>
      <c r="C4">
        <v>22</v>
      </c>
      <c r="D4">
        <v>1111116</v>
      </c>
      <c r="E4">
        <v>6</v>
      </c>
      <c r="F4" t="str">
        <v>モビエレ</v>
      </c>
      <c r="G4">
        <v>46178</v>
      </c>
      <c r="H4">
        <v>21</v>
      </c>
      <c r="I4">
        <v>22</v>
      </c>
      <c r="J4">
        <v>1111116</v>
      </c>
      <c r="K4">
        <v>6</v>
      </c>
      <c r="L4" t="str">
        <v>モビエレ</v>
      </c>
      <c r="M4">
        <v>46178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C7FCD-61E7-49A7-BEF8-3E2D055AC27D}">
  <dimension ref="B2:J49"/>
  <sheetViews>
    <sheetView zoomScale="65" workbookViewId="0">
      <selection activeCell="B7" sqref="B7"/>
    </sheetView>
  </sheetViews>
  <sheetFormatPr defaultRowHeight="18"/>
  <cols>
    <col min="1" max="1" width="7" customWidth="1"/>
    <col min="2" max="4" width="25" customWidth="1"/>
    <col min="5" max="5" width="25" style="9" customWidth="1"/>
    <col min="6" max="9" width="25" customWidth="1"/>
    <col min="10" max="10" width="7.69921875" customWidth="1"/>
    <col min="11" max="11" width="25" customWidth="1"/>
  </cols>
  <sheetData>
    <row r="2" spans="2:10">
      <c r="B2" s="6" t="s">
        <v>15</v>
      </c>
      <c r="C2" s="6"/>
      <c r="D2" s="6"/>
      <c r="E2" s="6"/>
      <c r="F2" s="6"/>
      <c r="G2" s="6"/>
      <c r="H2" s="6"/>
      <c r="I2" s="6"/>
      <c r="J2" s="6"/>
    </row>
    <row r="3" spans="2:10">
      <c r="B3" s="6"/>
      <c r="C3" s="6"/>
      <c r="D3" s="6"/>
      <c r="E3" s="6"/>
      <c r="F3" s="6"/>
      <c r="G3" s="6"/>
      <c r="H3" s="6"/>
      <c r="I3" s="6"/>
      <c r="J3" s="6"/>
    </row>
    <row r="4" spans="2:10">
      <c r="B4" s="7" t="s">
        <v>16</v>
      </c>
      <c r="C4" s="7"/>
      <c r="D4" s="7"/>
      <c r="E4" s="7"/>
      <c r="F4" s="7"/>
      <c r="G4" s="7"/>
      <c r="H4" s="7"/>
      <c r="I4" s="7"/>
      <c r="J4" s="7"/>
    </row>
    <row r="6" spans="2:10">
      <c r="B6" s="1" t="s">
        <v>25</v>
      </c>
      <c r="C6" s="1"/>
      <c r="D6" s="1"/>
      <c r="E6" s="8"/>
      <c r="F6" s="1" t="s">
        <v>26</v>
      </c>
      <c r="I6" s="1" t="s">
        <v>27</v>
      </c>
    </row>
    <row r="7" spans="2:10">
      <c r="B7" s="1" t="s">
        <v>11</v>
      </c>
      <c r="C7" s="1"/>
      <c r="D7" s="1"/>
      <c r="E7" s="8"/>
      <c r="F7" s="1"/>
      <c r="I7" s="5">
        <v>46187</v>
      </c>
    </row>
    <row r="10" spans="2:10">
      <c r="B10" t="s">
        <v>17</v>
      </c>
    </row>
    <row r="11" spans="2:10">
      <c r="B11" s="10" t="s">
        <v>18</v>
      </c>
      <c r="C11" s="10" t="s">
        <v>28</v>
      </c>
      <c r="D11" s="10" t="s">
        <v>22</v>
      </c>
      <c r="E11" s="11" t="s">
        <v>19</v>
      </c>
      <c r="F11" s="12" t="s">
        <v>20</v>
      </c>
      <c r="G11" s="10" t="s">
        <v>23</v>
      </c>
      <c r="H11" s="12" t="s">
        <v>21</v>
      </c>
      <c r="I11" s="12" t="s">
        <v>24</v>
      </c>
    </row>
    <row r="12" spans="2:10">
      <c r="B12" s="13" t="str" cm="1">
        <f t="array" ref="B12:B14">_xlfn._xlws.FILTER(master!B:B, (master!$A:$A=報告書!$B$7), "該当なし")</f>
        <v>部屋2</v>
      </c>
      <c r="C12" s="14" cm="1">
        <f t="array" ref="C12:C14">_xlfn._xlws.FILTER(master!C:C, (master!$A:$A=報告書!$B$7), "該当なし")</f>
        <v>17</v>
      </c>
      <c r="D12" s="14" cm="1">
        <f t="array" ref="D12:D14">_xlfn._xlws.FILTER(master!D:D, (master!$A:$A=報告書!$B$7), "該当なし")</f>
        <v>18</v>
      </c>
      <c r="E12" s="14" cm="1">
        <f t="array" ref="E12:E14">_xlfn._xlws.FILTER(master!E:E, (master!$A:$A=報告書!$B$7), "該当なし")</f>
        <v>1111114</v>
      </c>
      <c r="F12" s="14" cm="1">
        <f t="array" ref="F12:F14">_xlfn._xlws.FILTER(master!F:F, (master!$A:$A=報告書!$B$7), "該当なし")</f>
        <v>4</v>
      </c>
      <c r="G12" s="14" t="str" cm="1">
        <f t="array" ref="G12:G14">_xlfn._xlws.FILTER(master!G:G, (master!$A:$A=報告書!$B$7), "該当なし")</f>
        <v>モビエレ</v>
      </c>
      <c r="H12" s="14" cm="1">
        <f t="array" ref="H12:H14">_xlfn._xlws.FILTER(master!H:H, (master!$A:$A=報告書!$B$7), "該当なし")</f>
        <v>46176</v>
      </c>
      <c r="I12" s="15">
        <f>IF($I$7&lt;&gt;"", $I$7, "")</f>
        <v>46187</v>
      </c>
    </row>
    <row r="13" spans="2:10">
      <c r="B13" s="13" t="str">
        <v>スペアナ</v>
      </c>
      <c r="C13" s="14">
        <v>19</v>
      </c>
      <c r="D13" s="14">
        <v>20</v>
      </c>
      <c r="E13" s="14">
        <v>1111115</v>
      </c>
      <c r="F13" s="14">
        <v>5</v>
      </c>
      <c r="G13" s="14" t="str">
        <v>モビエレ</v>
      </c>
      <c r="H13" s="14">
        <v>46177</v>
      </c>
      <c r="I13" s="15">
        <f t="shared" ref="I13:I28" si="0">IF($I$7&lt;&gt;"", $I$7, "")</f>
        <v>46187</v>
      </c>
    </row>
    <row r="14" spans="2:10">
      <c r="B14" s="13" t="str">
        <v>ラインレシーバ</v>
      </c>
      <c r="C14" s="14">
        <v>21</v>
      </c>
      <c r="D14" s="14">
        <v>22</v>
      </c>
      <c r="E14" s="14">
        <v>1111116</v>
      </c>
      <c r="F14" s="14">
        <v>6</v>
      </c>
      <c r="G14" s="14" t="str">
        <v>モビエレ</v>
      </c>
      <c r="H14" s="14">
        <v>46178</v>
      </c>
      <c r="I14" s="15">
        <f t="shared" si="0"/>
        <v>46187</v>
      </c>
    </row>
    <row r="15" spans="2:10">
      <c r="B15" s="13"/>
      <c r="C15" s="14"/>
      <c r="D15" s="14"/>
      <c r="E15" s="14"/>
      <c r="F15" s="14"/>
      <c r="G15" s="14"/>
      <c r="H15" s="14"/>
      <c r="I15" s="15">
        <f t="shared" si="0"/>
        <v>46187</v>
      </c>
    </row>
    <row r="16" spans="2:10">
      <c r="B16" s="13"/>
      <c r="C16" s="14" t="str">
        <f>IFERROR(VLOOKUP($B16, master!$B:$H, 2, FALSE), "")</f>
        <v/>
      </c>
      <c r="D16" s="14" t="str">
        <f>IFERROR(VLOOKUP($B16, master!$B:$H, 3, FALSE), "")</f>
        <v/>
      </c>
      <c r="E16" s="14" t="str">
        <f>IFERROR(VLOOKUP($B16, master!$B:$H, 4, FALSE), "")</f>
        <v/>
      </c>
      <c r="F16" s="14" t="str">
        <f>IFERROR(VLOOKUP($B16, master!$B:$H, 5, FALSE), "")</f>
        <v/>
      </c>
      <c r="G16" s="13" t="str">
        <f>IFERROR(VLOOKUP($B16, master!$B:$H, 6, FALSE), "")</f>
        <v/>
      </c>
      <c r="H16" s="14" t="str">
        <f>IFERROR(VLOOKUP($B16, master!$B:$H, 7, FALSE), "")</f>
        <v/>
      </c>
      <c r="I16" s="15">
        <f t="shared" si="0"/>
        <v>46187</v>
      </c>
    </row>
    <row r="17" spans="2:9">
      <c r="B17" s="13"/>
      <c r="C17" s="14" t="str">
        <f>IFERROR(VLOOKUP($B17, master!$B:$H, 2, FALSE), "")</f>
        <v/>
      </c>
      <c r="D17" s="14" t="str">
        <f>IFERROR(VLOOKUP($B17, master!$B:$H, 3, FALSE), "")</f>
        <v/>
      </c>
      <c r="E17" s="14" t="str">
        <f>IFERROR(VLOOKUP($B17, master!$B:$H, 4, FALSE), "")</f>
        <v/>
      </c>
      <c r="F17" s="14" t="str">
        <f>IFERROR(VLOOKUP($B17, master!$B:$H, 5, FALSE), "")</f>
        <v/>
      </c>
      <c r="G17" s="13" t="str">
        <f>IFERROR(VLOOKUP($B17, master!$B:$H, 6, FALSE), "")</f>
        <v/>
      </c>
      <c r="H17" s="14" t="str">
        <f>IFERROR(VLOOKUP($B17, master!$B:$H, 7, FALSE), "")</f>
        <v/>
      </c>
      <c r="I17" s="15">
        <f t="shared" si="0"/>
        <v>46187</v>
      </c>
    </row>
    <row r="18" spans="2:9">
      <c r="B18" s="13" t="str">
        <f>IF(抽出!A8&lt;&gt;"", 抽出!A8, "")</f>
        <v/>
      </c>
      <c r="C18" s="14" t="str">
        <f>IFERROR(VLOOKUP($B18, master!$B:$H, 2, FALSE), "")</f>
        <v/>
      </c>
      <c r="D18" s="14" t="str">
        <f>IFERROR(VLOOKUP($B18, master!$B:$H, 3, FALSE), "")</f>
        <v/>
      </c>
      <c r="E18" s="14" t="str">
        <f>IFERROR(VLOOKUP($B18, master!$B:$H, 4, FALSE), "")</f>
        <v/>
      </c>
      <c r="F18" s="14" t="str">
        <f>IFERROR(VLOOKUP($B18, master!$B:$H, 5, FALSE), "")</f>
        <v/>
      </c>
      <c r="G18" s="13" t="str">
        <f>IFERROR(VLOOKUP($B18, master!$B:$H, 6, FALSE), "")</f>
        <v/>
      </c>
      <c r="H18" s="14" t="str">
        <f>IFERROR(VLOOKUP($B18, master!$B:$H, 7, FALSE), "")</f>
        <v/>
      </c>
      <c r="I18" s="15">
        <f t="shared" si="0"/>
        <v>46187</v>
      </c>
    </row>
    <row r="19" spans="2:9">
      <c r="B19" s="13"/>
      <c r="C19" s="14" t="str">
        <f>IFERROR(VLOOKUP($B19, master!$B:$H, 2, FALSE), "")</f>
        <v/>
      </c>
      <c r="D19" s="14" t="str">
        <f>IFERROR(VLOOKUP($B19, master!$B:$H, 3, FALSE), "")</f>
        <v/>
      </c>
      <c r="E19" s="14" t="str">
        <f>IFERROR(VLOOKUP($B19, master!$B:$H, 4, FALSE), "")</f>
        <v/>
      </c>
      <c r="F19" s="14" t="str">
        <f>IFERROR(VLOOKUP($B19, master!$B:$H, 5, FALSE), "")</f>
        <v/>
      </c>
      <c r="G19" s="13" t="str">
        <f>IFERROR(VLOOKUP($B19, master!$B:$H, 6, FALSE), "")</f>
        <v/>
      </c>
      <c r="H19" s="14" t="str">
        <f>IFERROR(VLOOKUP($B19, master!$B:$H, 7, FALSE), "")</f>
        <v/>
      </c>
      <c r="I19" s="15">
        <f t="shared" si="0"/>
        <v>46187</v>
      </c>
    </row>
    <row r="20" spans="2:9">
      <c r="B20" s="13" t="str">
        <f>IF(抽出!A9&lt;&gt;"", 抽出!A9, "")</f>
        <v/>
      </c>
      <c r="C20" s="14" t="str">
        <f>IFERROR(VLOOKUP($B20, master!$B:$H, 2, FALSE), "")</f>
        <v/>
      </c>
      <c r="D20" s="14" t="str">
        <f>IFERROR(VLOOKUP($B20, master!$B:$H, 3, FALSE), "")</f>
        <v/>
      </c>
      <c r="E20" s="14" t="str">
        <f>IFERROR(VLOOKUP($B20, master!$B:$H, 4, FALSE), "")</f>
        <v/>
      </c>
      <c r="F20" s="14" t="str">
        <f>IFERROR(VLOOKUP($B20, master!$B:$H, 5, FALSE), "")</f>
        <v/>
      </c>
      <c r="G20" s="13" t="str">
        <f>IFERROR(VLOOKUP($B20, master!$B:$H, 6, FALSE), "")</f>
        <v/>
      </c>
      <c r="H20" s="14" t="str">
        <f>IFERROR(VLOOKUP($B20, master!$B:$H, 7, FALSE), "")</f>
        <v/>
      </c>
      <c r="I20" s="15">
        <f t="shared" si="0"/>
        <v>46187</v>
      </c>
    </row>
    <row r="21" spans="2:9">
      <c r="B21" s="13"/>
      <c r="C21" s="14" t="str">
        <f>IFERROR(VLOOKUP($B21, master!$B:$H, 2, FALSE), "")</f>
        <v/>
      </c>
      <c r="D21" s="14" t="str">
        <f>IFERROR(VLOOKUP($B21, master!$B:$H, 3, FALSE), "")</f>
        <v/>
      </c>
      <c r="E21" s="14" t="str">
        <f>IFERROR(VLOOKUP($B21, master!$B:$H, 4, FALSE), "")</f>
        <v/>
      </c>
      <c r="F21" s="14" t="str">
        <f>IFERROR(VLOOKUP($B21, master!$B:$H, 5, FALSE), "")</f>
        <v/>
      </c>
      <c r="G21" s="13" t="str">
        <f>IFERROR(VLOOKUP($B21, master!$B:$H, 6, FALSE), "")</f>
        <v/>
      </c>
      <c r="H21" s="14" t="str">
        <f>IFERROR(VLOOKUP($B21, master!$B:$H, 7, FALSE), "")</f>
        <v/>
      </c>
      <c r="I21" s="15">
        <f t="shared" si="0"/>
        <v>46187</v>
      </c>
    </row>
    <row r="22" spans="2:9">
      <c r="B22" s="13" t="str">
        <f>IF(抽出!A10&lt;&gt;"", 抽出!A10, "")</f>
        <v/>
      </c>
      <c r="C22" s="14" t="str">
        <f>IFERROR(VLOOKUP($B22, master!$B:$H, 2, FALSE), "")</f>
        <v/>
      </c>
      <c r="D22" s="14" t="str">
        <f>IFERROR(VLOOKUP($B22, master!$B:$H, 3, FALSE), "")</f>
        <v/>
      </c>
      <c r="E22" s="14" t="str">
        <f>IFERROR(VLOOKUP($B22, master!$B:$H, 4, FALSE), "")</f>
        <v/>
      </c>
      <c r="F22" s="14" t="str">
        <f>IFERROR(VLOOKUP($B22, master!$B:$H, 5, FALSE), "")</f>
        <v/>
      </c>
      <c r="G22" s="13" t="str">
        <f>IFERROR(VLOOKUP($B22, master!$B:$H, 6, FALSE), "")</f>
        <v/>
      </c>
      <c r="H22" s="14" t="str">
        <f>IFERROR(VLOOKUP($B22, master!$B:$H, 7, FALSE), "")</f>
        <v/>
      </c>
      <c r="I22" s="15">
        <f t="shared" si="0"/>
        <v>46187</v>
      </c>
    </row>
    <row r="23" spans="2:9">
      <c r="B23" s="13"/>
      <c r="C23" s="14" t="str">
        <f>IFERROR(VLOOKUP($B23, master!$B:$H, 2, FALSE), "")</f>
        <v/>
      </c>
      <c r="D23" s="14" t="str">
        <f>IFERROR(VLOOKUP($B23, master!$B:$H, 3, FALSE), "")</f>
        <v/>
      </c>
      <c r="E23" s="14" t="str">
        <f>IFERROR(VLOOKUP($B23, master!$B:$H, 4, FALSE), "")</f>
        <v/>
      </c>
      <c r="F23" s="14" t="str">
        <f>IFERROR(VLOOKUP($B23, master!$B:$H, 5, FALSE), "")</f>
        <v/>
      </c>
      <c r="G23" s="13" t="str">
        <f>IFERROR(VLOOKUP($B23, master!$B:$H, 6, FALSE), "")</f>
        <v/>
      </c>
      <c r="H23" s="14" t="str">
        <f>IFERROR(VLOOKUP($B23, master!$B:$H, 7, FALSE), "")</f>
        <v/>
      </c>
      <c r="I23" s="15">
        <f t="shared" si="0"/>
        <v>46187</v>
      </c>
    </row>
    <row r="24" spans="2:9">
      <c r="B24" s="13" t="str">
        <f>IF(抽出!A14&lt;&gt;"", 抽出!A14, "")</f>
        <v/>
      </c>
      <c r="C24" s="14" t="str">
        <f>IFERROR(VLOOKUP($B24, master!$B:$H, 2, FALSE), "")</f>
        <v/>
      </c>
      <c r="D24" s="14" t="str">
        <f>IFERROR(VLOOKUP($B24, master!$B:$H, 3, FALSE), "")</f>
        <v/>
      </c>
      <c r="E24" s="14" t="str">
        <f>IFERROR(VLOOKUP($B24, master!$B:$H, 4, FALSE), "")</f>
        <v/>
      </c>
      <c r="F24" s="14" t="str">
        <f>IFERROR(VLOOKUP($B24, master!$B:$H, 5, FALSE), "")</f>
        <v/>
      </c>
      <c r="G24" s="13" t="str">
        <f>IFERROR(VLOOKUP($B24, master!$B:$H, 6, FALSE), "")</f>
        <v/>
      </c>
      <c r="H24" s="14" t="str">
        <f>IFERROR(VLOOKUP($B24, master!$B:$H, 7, FALSE), "")</f>
        <v/>
      </c>
      <c r="I24" s="15">
        <f t="shared" si="0"/>
        <v>46187</v>
      </c>
    </row>
    <row r="25" spans="2:9">
      <c r="B25" s="13"/>
      <c r="C25" s="14" t="str">
        <f>IFERROR(VLOOKUP($B25, master!$B:$H, 2, FALSE), "")</f>
        <v/>
      </c>
      <c r="D25" s="14" t="str">
        <f>IFERROR(VLOOKUP($B25, master!$B:$H, 3, FALSE), "")</f>
        <v/>
      </c>
      <c r="E25" s="14" t="str">
        <f>IFERROR(VLOOKUP($B25, master!$B:$H, 4, FALSE), "")</f>
        <v/>
      </c>
      <c r="F25" s="14" t="str">
        <f>IFERROR(VLOOKUP($B25, master!$B:$H, 5, FALSE), "")</f>
        <v/>
      </c>
      <c r="G25" s="13" t="str">
        <f>IFERROR(VLOOKUP($B25, master!$B:$H, 6, FALSE), "")</f>
        <v/>
      </c>
      <c r="H25" s="14" t="str">
        <f>IFERROR(VLOOKUP($B25, master!$B:$H, 7, FALSE), "")</f>
        <v/>
      </c>
      <c r="I25" s="15">
        <f t="shared" si="0"/>
        <v>46187</v>
      </c>
    </row>
    <row r="26" spans="2:9">
      <c r="B26" s="13" t="str">
        <f>IF(抽出!A15&lt;&gt;"", 抽出!A15, "")</f>
        <v/>
      </c>
      <c r="C26" s="14" t="str">
        <f>IFERROR(VLOOKUP($B26, master!$B:$H, 2, FALSE), "")</f>
        <v/>
      </c>
      <c r="D26" s="14" t="str">
        <f>IFERROR(VLOOKUP($B26, master!$B:$H, 3, FALSE), "")</f>
        <v/>
      </c>
      <c r="E26" s="14" t="str">
        <f>IFERROR(VLOOKUP($B26, master!$B:$H, 4, FALSE), "")</f>
        <v/>
      </c>
      <c r="F26" s="14" t="str">
        <f>IFERROR(VLOOKUP($B26, master!$B:$H, 5, FALSE), "")</f>
        <v/>
      </c>
      <c r="G26" s="13" t="str">
        <f>IFERROR(VLOOKUP($B26, master!$B:$H, 6, FALSE), "")</f>
        <v/>
      </c>
      <c r="H26" s="14" t="str">
        <f>IFERROR(VLOOKUP($B26, master!$B:$H, 7, FALSE), "")</f>
        <v/>
      </c>
      <c r="I26" s="15">
        <f t="shared" si="0"/>
        <v>46187</v>
      </c>
    </row>
    <row r="27" spans="2:9">
      <c r="B27" s="13"/>
      <c r="C27" s="14" t="str">
        <f>IFERROR(VLOOKUP($B27, master!$B:$H, 2, FALSE), "")</f>
        <v/>
      </c>
      <c r="D27" s="14" t="str">
        <f>IFERROR(VLOOKUP($B27, master!$B:$H, 3, FALSE), "")</f>
        <v/>
      </c>
      <c r="E27" s="14" t="str">
        <f>IFERROR(VLOOKUP($B27, master!$B:$H, 4, FALSE), "")</f>
        <v/>
      </c>
      <c r="F27" s="14" t="str">
        <f>IFERROR(VLOOKUP($B27, master!$B:$H, 5, FALSE), "")</f>
        <v/>
      </c>
      <c r="G27" s="13" t="str">
        <f>IFERROR(VLOOKUP($B27, master!$B:$H, 6, FALSE), "")</f>
        <v/>
      </c>
      <c r="H27" s="14" t="str">
        <f>IFERROR(VLOOKUP($B27, master!$B:$H, 7, FALSE), "")</f>
        <v/>
      </c>
      <c r="I27" s="15">
        <f t="shared" si="0"/>
        <v>46187</v>
      </c>
    </row>
    <row r="28" spans="2:9">
      <c r="B28" s="13" t="str">
        <f>IF(抽出!A16&lt;&gt;"", 抽出!A16, "")</f>
        <v/>
      </c>
      <c r="C28" s="14" t="str">
        <f>IFERROR(VLOOKUP($B28, master!$B:$H, 2, FALSE), "")</f>
        <v/>
      </c>
      <c r="D28" s="14" t="str">
        <f>IFERROR(VLOOKUP($B28, master!$B:$H, 3, FALSE), "")</f>
        <v/>
      </c>
      <c r="E28" s="14" t="str">
        <f>IFERROR(VLOOKUP($B28, master!$B:$H, 4, FALSE), "")</f>
        <v/>
      </c>
      <c r="F28" s="14" t="str">
        <f>IFERROR(VLOOKUP($B28, master!$B:$H, 5, FALSE), "")</f>
        <v/>
      </c>
      <c r="G28" s="13" t="str">
        <f>IFERROR(VLOOKUP($B28, master!$B:$H, 6, FALSE), "")</f>
        <v/>
      </c>
      <c r="H28" s="14" t="str">
        <f>IFERROR(VLOOKUP($B28, master!$B:$H, 7, FALSE), "")</f>
        <v/>
      </c>
      <c r="I28" s="15">
        <f t="shared" si="0"/>
        <v>46187</v>
      </c>
    </row>
    <row r="29" spans="2:9">
      <c r="B29" s="13"/>
      <c r="C29" s="14" t="str">
        <f>IFERROR(VLOOKUP($B29, master!$B:$H, 2, FALSE), "")</f>
        <v/>
      </c>
      <c r="D29" s="14" t="str">
        <f>IFERROR(VLOOKUP($B29, master!$B:$H, 3, FALSE), "")</f>
        <v/>
      </c>
      <c r="E29" s="14" t="str">
        <f>IFERROR(VLOOKUP($B29, master!$B:$H, 4, FALSE), "")</f>
        <v/>
      </c>
      <c r="F29" s="14" t="str">
        <f>IFERROR(VLOOKUP($B29, master!$B:$H, 5, FALSE), "")</f>
        <v/>
      </c>
      <c r="G29" s="13" t="str">
        <f>IFERROR(VLOOKUP($B29, master!$B:$H, 6, FALSE), "")</f>
        <v/>
      </c>
      <c r="H29" s="14" t="str">
        <f>IFERROR(VLOOKUP($B29, master!$B:$H, 7, FALSE), "")</f>
        <v/>
      </c>
      <c r="I29" s="15"/>
    </row>
    <row r="30" spans="2:9">
      <c r="B30" s="13" t="str">
        <f>IF(抽出!A20&lt;&gt;"", 抽出!A20, "")</f>
        <v/>
      </c>
      <c r="C30" s="14" t="str">
        <f>IFERROR(VLOOKUP($B30, master!$B:$H, 2, FALSE), "")</f>
        <v/>
      </c>
      <c r="D30" s="14" t="str">
        <f>IFERROR(VLOOKUP($B30, master!$B:$H, 3, FALSE), "")</f>
        <v/>
      </c>
      <c r="E30" s="14" t="str">
        <f>IFERROR(VLOOKUP($B30, master!$B:$H, 4, FALSE), "")</f>
        <v/>
      </c>
      <c r="F30" s="14" t="str">
        <f>IFERROR(VLOOKUP($B30, master!$B:$H, 5, FALSE), "")</f>
        <v/>
      </c>
      <c r="G30" s="13" t="str">
        <f>IFERROR(VLOOKUP($B30, master!$B:$H, 6, FALSE), "")</f>
        <v/>
      </c>
      <c r="H30" s="14" t="str">
        <f>IFERROR(VLOOKUP($B30, master!$B:$H, 7, FALSE), "")</f>
        <v/>
      </c>
      <c r="I30" s="15"/>
    </row>
    <row r="31" spans="2:9">
      <c r="B31" s="13"/>
      <c r="C31" s="14" t="str">
        <f>IFERROR(VLOOKUP($B31, master!$B:$H, 2, FALSE), "")</f>
        <v/>
      </c>
      <c r="D31" s="14" t="str">
        <f>IFERROR(VLOOKUP($B31, master!$B:$H, 3, FALSE), "")</f>
        <v/>
      </c>
      <c r="E31" s="14" t="str">
        <f>IFERROR(VLOOKUP($B31, master!$B:$H, 4, FALSE), "")</f>
        <v/>
      </c>
      <c r="F31" s="14" t="str">
        <f>IFERROR(VLOOKUP($B31, master!$B:$H, 5, FALSE), "")</f>
        <v/>
      </c>
      <c r="G31" s="13" t="str">
        <f>IFERROR(VLOOKUP($B31, master!$B:$H, 6, FALSE), "")</f>
        <v/>
      </c>
      <c r="H31" s="14" t="str">
        <f>IFERROR(VLOOKUP($B31, master!$B:$H, 7, FALSE), "")</f>
        <v/>
      </c>
      <c r="I31" s="15"/>
    </row>
    <row r="32" spans="2:9">
      <c r="B32" s="13" t="str">
        <f>IF(抽出!A21&lt;&gt;"", 抽出!A21, "")</f>
        <v/>
      </c>
      <c r="C32" s="14" t="str">
        <f>IFERROR(VLOOKUP($B32, master!$B:$H, 2, FALSE), "")</f>
        <v/>
      </c>
      <c r="D32" s="14" t="str">
        <f>IFERROR(VLOOKUP($B32, master!$B:$H, 3, FALSE), "")</f>
        <v/>
      </c>
      <c r="E32" s="14" t="str">
        <f>IFERROR(VLOOKUP($B32, master!$B:$H, 4, FALSE), "")</f>
        <v/>
      </c>
      <c r="F32" s="14" t="str">
        <f>IFERROR(VLOOKUP($B32, master!$B:$H, 5, FALSE), "")</f>
        <v/>
      </c>
      <c r="G32" s="13" t="str">
        <f>IFERROR(VLOOKUP($B32, master!$B:$H, 6, FALSE), "")</f>
        <v/>
      </c>
      <c r="H32" s="14" t="str">
        <f>IFERROR(VLOOKUP($B32, master!$B:$H, 7, FALSE), "")</f>
        <v/>
      </c>
      <c r="I32" s="15"/>
    </row>
    <row r="33" spans="2:9">
      <c r="B33" s="13"/>
      <c r="C33" s="14" t="str">
        <f>IFERROR(VLOOKUP($B33, master!$B:$H, 2, FALSE), "")</f>
        <v/>
      </c>
      <c r="D33" s="14" t="str">
        <f>IFERROR(VLOOKUP($B33, master!$B:$H, 3, FALSE), "")</f>
        <v/>
      </c>
      <c r="E33" s="14" t="str">
        <f>IFERROR(VLOOKUP($B33, master!$B:$H, 4, FALSE), "")</f>
        <v/>
      </c>
      <c r="F33" s="14" t="str">
        <f>IFERROR(VLOOKUP($B33, master!$B:$H, 5, FALSE), "")</f>
        <v/>
      </c>
      <c r="G33" s="13" t="str">
        <f>IFERROR(VLOOKUP($B33, master!$B:$H, 6, FALSE), "")</f>
        <v/>
      </c>
      <c r="H33" s="14" t="str">
        <f>IFERROR(VLOOKUP($B33, master!$B:$H, 7, FALSE), "")</f>
        <v/>
      </c>
      <c r="I33" s="15"/>
    </row>
    <row r="34" spans="2:9">
      <c r="B34" s="13" t="str">
        <f>IF(抽出!A22&lt;&gt;"", 抽出!A22, "")</f>
        <v/>
      </c>
      <c r="C34" s="14" t="str">
        <f>IFERROR(VLOOKUP($B34, master!$B:$H, 2, FALSE), "")</f>
        <v/>
      </c>
      <c r="D34" s="14" t="str">
        <f>IFERROR(VLOOKUP($B34, master!$B:$H, 3, FALSE), "")</f>
        <v/>
      </c>
      <c r="E34" s="14" t="str">
        <f>IFERROR(VLOOKUP($B34, master!$B:$H, 4, FALSE), "")</f>
        <v/>
      </c>
      <c r="F34" s="14" t="str">
        <f>IFERROR(VLOOKUP($B34, master!$B:$H, 5, FALSE), "")</f>
        <v/>
      </c>
      <c r="G34" s="13" t="str">
        <f>IFERROR(VLOOKUP($B34, master!$B:$H, 6, FALSE), "")</f>
        <v/>
      </c>
      <c r="H34" s="14" t="str">
        <f>IFERROR(VLOOKUP($B34, master!$B:$H, 7, FALSE), "")</f>
        <v/>
      </c>
      <c r="I34" s="15"/>
    </row>
    <row r="35" spans="2:9">
      <c r="B35" s="13"/>
      <c r="C35" s="14" t="str">
        <f>IFERROR(VLOOKUP($B35, master!$B:$H, 2, FALSE), "")</f>
        <v/>
      </c>
      <c r="D35" s="14" t="str">
        <f>IFERROR(VLOOKUP($B35, master!$B:$H, 3, FALSE), "")</f>
        <v/>
      </c>
      <c r="E35" s="14" t="str">
        <f>IFERROR(VLOOKUP($B35, master!$B:$H, 4, FALSE), "")</f>
        <v/>
      </c>
      <c r="F35" s="14" t="str">
        <f>IFERROR(VLOOKUP($B35, master!$B:$H, 5, FALSE), "")</f>
        <v/>
      </c>
      <c r="G35" s="13" t="str">
        <f>IFERROR(VLOOKUP($B35, master!$B:$H, 6, FALSE), "")</f>
        <v/>
      </c>
      <c r="H35" s="14" t="str">
        <f>IFERROR(VLOOKUP($B35, master!$B:$H, 7, FALSE), "")</f>
        <v/>
      </c>
      <c r="I35" s="15"/>
    </row>
    <row r="36" spans="2:9">
      <c r="B36" s="13" t="str">
        <f>IF(抽出!A26&lt;&gt;"", 抽出!A26, "")</f>
        <v/>
      </c>
      <c r="C36" s="14" t="str">
        <f>IFERROR(VLOOKUP($B36, master!$B:$H, 2, FALSE), "")</f>
        <v/>
      </c>
      <c r="D36" s="14" t="str">
        <f>IFERROR(VLOOKUP($B36, master!$B:$H, 3, FALSE), "")</f>
        <v/>
      </c>
      <c r="E36" s="14" t="str">
        <f>IFERROR(VLOOKUP($B36, master!$B:$H, 4, FALSE), "")</f>
        <v/>
      </c>
      <c r="F36" s="14" t="str">
        <f>IFERROR(VLOOKUP($B36, master!$B:$H, 5, FALSE), "")</f>
        <v/>
      </c>
      <c r="G36" s="13" t="str">
        <f>IFERROR(VLOOKUP($B36, master!$B:$H, 6, FALSE), "")</f>
        <v/>
      </c>
      <c r="H36" s="14" t="str">
        <f>IFERROR(VLOOKUP($B36, master!$B:$H, 7, FALSE), "")</f>
        <v/>
      </c>
      <c r="I36" s="15"/>
    </row>
    <row r="37" spans="2:9">
      <c r="B37" s="13"/>
      <c r="C37" s="14"/>
      <c r="D37" s="14"/>
      <c r="E37" s="16"/>
      <c r="F37" s="14"/>
      <c r="G37" s="13"/>
      <c r="H37" s="14"/>
      <c r="I37" s="15"/>
    </row>
    <row r="38" spans="2:9">
      <c r="B38" s="13" t="str">
        <f>IF(抽出!A27&lt;&gt;"", 抽出!A27, "")</f>
        <v/>
      </c>
      <c r="C38" s="14"/>
      <c r="D38" s="14"/>
      <c r="E38" s="16"/>
      <c r="F38" s="14"/>
      <c r="G38" s="13"/>
      <c r="H38" s="14"/>
      <c r="I38" s="15"/>
    </row>
    <row r="39" spans="2:9">
      <c r="B39" s="13"/>
      <c r="C39" s="14"/>
      <c r="D39" s="14"/>
      <c r="E39" s="16"/>
      <c r="F39" s="14"/>
      <c r="G39" s="13"/>
      <c r="H39" s="14"/>
      <c r="I39" s="15"/>
    </row>
    <row r="40" spans="2:9">
      <c r="B40" s="13" t="str">
        <f>IF(抽出!A28&lt;&gt;"", 抽出!A28, "")</f>
        <v/>
      </c>
      <c r="C40" s="14"/>
      <c r="D40" s="14"/>
      <c r="E40" s="16"/>
      <c r="F40" s="14"/>
      <c r="G40" s="13"/>
      <c r="H40" s="14"/>
      <c r="I40" s="15"/>
    </row>
    <row r="41" spans="2:9">
      <c r="B41" s="13"/>
      <c r="C41" s="14"/>
      <c r="D41" s="14"/>
      <c r="E41" s="16"/>
      <c r="F41" s="14"/>
      <c r="G41" s="13"/>
      <c r="H41" s="14"/>
      <c r="I41" s="15"/>
    </row>
    <row r="42" spans="2:9">
      <c r="B42" s="13" t="str">
        <f>IF(抽出!A32&lt;&gt;"", 抽出!A32, "")</f>
        <v/>
      </c>
      <c r="C42" s="14"/>
      <c r="D42" s="14"/>
      <c r="E42" s="16"/>
      <c r="F42" s="14"/>
      <c r="G42" s="13"/>
      <c r="H42" s="14"/>
      <c r="I42" s="15"/>
    </row>
    <row r="43" spans="2:9">
      <c r="B43" s="13"/>
      <c r="C43" s="14"/>
      <c r="D43" s="14"/>
      <c r="E43" s="16"/>
      <c r="F43" s="14"/>
      <c r="G43" s="13"/>
      <c r="H43" s="14"/>
      <c r="I43" s="15"/>
    </row>
    <row r="44" spans="2:9">
      <c r="B44" s="13" t="str">
        <f>IF(抽出!A33&lt;&gt;"", 抽出!A33, "")</f>
        <v/>
      </c>
      <c r="C44" s="14"/>
      <c r="D44" s="14"/>
      <c r="E44" s="16"/>
      <c r="F44" s="14"/>
      <c r="G44" s="13"/>
      <c r="H44" s="14"/>
      <c r="I44" s="15"/>
    </row>
    <row r="45" spans="2:9">
      <c r="B45" s="13"/>
      <c r="C45" s="14"/>
      <c r="D45" s="14"/>
      <c r="E45" s="16"/>
      <c r="F45" s="14"/>
      <c r="G45" s="13"/>
      <c r="H45" s="14"/>
      <c r="I45" s="15"/>
    </row>
    <row r="46" spans="2:9">
      <c r="B46" s="13" t="str">
        <f>IF(抽出!A34&lt;&gt;"", 抽出!A34, "")</f>
        <v/>
      </c>
      <c r="C46" s="14"/>
      <c r="D46" s="14"/>
      <c r="E46" s="16"/>
      <c r="F46" s="14"/>
      <c r="G46" s="13"/>
      <c r="H46" s="14"/>
      <c r="I46" s="15"/>
    </row>
    <row r="47" spans="2:9">
      <c r="B47" s="13"/>
      <c r="C47" s="14"/>
      <c r="D47" s="14"/>
      <c r="E47" s="16"/>
      <c r="F47" s="14"/>
      <c r="G47" s="13"/>
      <c r="H47" s="14"/>
      <c r="I47" s="15"/>
    </row>
    <row r="48" spans="2:9">
      <c r="B48" s="13" t="str">
        <f>IF(抽出!A38&lt;&gt;"", 抽出!A38, "")</f>
        <v/>
      </c>
      <c r="C48" s="14"/>
      <c r="D48" s="14"/>
      <c r="E48" s="16"/>
      <c r="F48" s="14"/>
      <c r="G48" s="13"/>
      <c r="H48" s="14"/>
      <c r="I48" s="15"/>
    </row>
    <row r="49" spans="2:9">
      <c r="B49" s="13"/>
      <c r="C49" s="14"/>
      <c r="D49" s="14"/>
      <c r="E49" s="16"/>
      <c r="F49" s="14"/>
      <c r="G49" s="13"/>
      <c r="H49" s="14"/>
      <c r="I49" s="15"/>
    </row>
  </sheetData>
  <mergeCells count="2">
    <mergeCell ref="B2:J3"/>
    <mergeCell ref="B4:J4"/>
  </mergeCells>
  <phoneticPr fontId="2"/>
  <dataValidations count="1">
    <dataValidation type="list" allowBlank="1" showInputMessage="1" showErrorMessage="1" sqref="B7:E7" xr:uid="{5DAEA4B9-D494-4E0E-BC07-43061B27CF18}">
      <formula1>INDIRECT("T_常設機器一覧表[部屋]")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master</vt:lpstr>
      <vt:lpstr>抽出</vt:lpstr>
      <vt:lpstr>報告書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野村葵</dc:creator>
  <cp:lastModifiedBy>野村　葵_富山</cp:lastModifiedBy>
  <dcterms:created xsi:type="dcterms:W3CDTF">2015-06-05T18:19:34Z</dcterms:created>
  <dcterms:modified xsi:type="dcterms:W3CDTF">2026-06-17T15:13:53Z</dcterms:modified>
</cp:coreProperties>
</file>