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codeName="ThisWorkbook"/>
  <mc:AlternateContent xmlns:mc="http://schemas.openxmlformats.org/markup-compatibility/2006">
    <mc:Choice Requires="x15">
      <x15ac:absPath xmlns:x15ac="http://schemas.microsoft.com/office/spreadsheetml/2010/11/ac" url="C:\Users\10001265713\Documents\教育メモ\改善提案\資料\AQC\"/>
    </mc:Choice>
  </mc:AlternateContent>
  <xr:revisionPtr revIDLastSave="0" documentId="13_ncr:1_{60352A0F-F143-4FE5-BB0B-99F2E61D9715}" xr6:coauthVersionLast="47" xr6:coauthVersionMax="47" xr10:uidLastSave="{00000000-0000-0000-0000-000000000000}"/>
  <bookViews>
    <workbookView xWindow="-108" yWindow="-108" windowWidth="23256" windowHeight="13896" tabRatio="524" activeTab="1" xr2:uid="{00000000-000D-0000-FFFF-FFFF00000000}"/>
  </bookViews>
  <sheets>
    <sheet name="試験装置・計測器一覧表" sheetId="11" r:id="rId1"/>
    <sheet name="master" sheetId="42" r:id="rId2"/>
    <sheet name="抽出" sheetId="43" r:id="rId3"/>
    <sheet name="試験備品一覧表" sheetId="41" r:id="rId4"/>
  </sheets>
  <externalReferences>
    <externalReference r:id="rId5"/>
  </externalReferences>
  <definedNames>
    <definedName name="_xlnm.Print_Area" localSheetId="0">試験装置・計測器一覧表!$A$1:$AQ$95</definedName>
    <definedName name="_xlnm.Print_Area" localSheetId="3">試験備品一覧表!$A$1:$AQ$64</definedName>
    <definedName name="スライサー_部屋">#N/A</definedName>
    <definedName name="実施有無">#REF!</definedName>
    <definedName name="判定">[1]結果!$AU$52:$AU$54</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43" l="1" a="1"/>
  <c r="AH3" i="41"/>
  <c r="C3" i="41"/>
  <c r="AH2" i="41"/>
  <c r="AQ1" i="41"/>
  <c r="A2" i="43" l="1"/>
  <c r="D16" i="11" s="1"/>
  <c r="AI17" i="11" s="1"/>
  <c r="D40" i="11"/>
  <c r="M40" i="11" s="1"/>
  <c r="D36" i="11"/>
  <c r="AI36" i="11" s="1"/>
  <c r="D38" i="11"/>
  <c r="D32" i="11"/>
  <c r="AI33" i="11" s="1"/>
  <c r="D34" i="11"/>
  <c r="D18" i="11"/>
  <c r="D20" i="11"/>
  <c r="D22" i="11"/>
  <c r="D24" i="11"/>
  <c r="D26" i="11"/>
  <c r="D28" i="11"/>
  <c r="D30" i="11"/>
  <c r="AQ1" i="11"/>
  <c r="AA36" i="11" l="1"/>
  <c r="U36" i="11"/>
  <c r="M36" i="11"/>
  <c r="AI16" i="11"/>
  <c r="AA32" i="11"/>
  <c r="AA17" i="11"/>
  <c r="U32" i="11"/>
  <c r="AA16" i="11"/>
  <c r="M32" i="11"/>
  <c r="U16" i="11"/>
  <c r="M41" i="11"/>
  <c r="M17" i="11"/>
  <c r="AI40" i="11"/>
  <c r="M16" i="11"/>
  <c r="AA40" i="11"/>
  <c r="M37" i="11"/>
  <c r="U40" i="11"/>
  <c r="AA33" i="11"/>
  <c r="M35" i="11"/>
  <c r="AA34" i="11"/>
  <c r="M34" i="11"/>
  <c r="AI34" i="11"/>
  <c r="U34" i="11"/>
  <c r="AI35" i="11"/>
  <c r="AA35" i="11"/>
  <c r="M33" i="11"/>
  <c r="AA39" i="11"/>
  <c r="M38" i="11"/>
  <c r="AI39" i="11"/>
  <c r="M39" i="11"/>
  <c r="AI38" i="11"/>
  <c r="AA38" i="11"/>
  <c r="U38" i="11"/>
  <c r="AA37" i="11"/>
  <c r="AI37" i="11"/>
  <c r="AI32" i="11"/>
  <c r="AA41" i="11"/>
  <c r="AI41" i="11"/>
  <c r="AI31" i="11"/>
  <c r="AA31" i="11"/>
  <c r="AI30" i="11"/>
  <c r="AA30" i="11"/>
  <c r="U30" i="11"/>
  <c r="M30" i="11"/>
  <c r="M31" i="11"/>
  <c r="AA29" i="11"/>
  <c r="M29" i="11"/>
  <c r="AI28" i="11"/>
  <c r="AA28" i="11"/>
  <c r="U28" i="11"/>
  <c r="M28" i="11"/>
  <c r="AI29" i="11"/>
  <c r="AI27" i="11"/>
  <c r="AA27" i="11"/>
  <c r="AI26" i="11"/>
  <c r="AA26" i="11"/>
  <c r="U26" i="11"/>
  <c r="M26" i="11"/>
  <c r="M27" i="11"/>
  <c r="AA25" i="11"/>
  <c r="M25" i="11"/>
  <c r="AI24" i="11"/>
  <c r="AA24" i="11"/>
  <c r="U24" i="11"/>
  <c r="M24" i="11"/>
  <c r="AI25" i="11"/>
  <c r="AI23" i="11"/>
  <c r="AA23" i="11"/>
  <c r="M23" i="11"/>
  <c r="AI22" i="11"/>
  <c r="AA22" i="11"/>
  <c r="U22" i="11"/>
  <c r="M22" i="11"/>
  <c r="AA21" i="11"/>
  <c r="M21" i="11"/>
  <c r="AI20" i="11"/>
  <c r="AA20" i="11"/>
  <c r="U20" i="11"/>
  <c r="M20" i="11"/>
  <c r="AI21" i="11"/>
  <c r="AI19" i="11"/>
  <c r="AA19" i="11"/>
  <c r="M19" i="11"/>
  <c r="AI18" i="11"/>
  <c r="AA18" i="11"/>
  <c r="U18" i="11"/>
  <c r="M18" i="11"/>
  <c r="AH3" i="11"/>
  <c r="AH2" i="11"/>
  <c r="C3"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tc={39F4F2EA-B6E3-4B22-A435-A8342848AA29}</author>
    <author>tc={F4D5E91C-793C-4B66-AD8E-CC76282C6F69}</author>
    <author>tc={5E7BB5EF-14EE-4E23-83BC-0FA4C64063AC}</author>
    <author>tc={D48E9152-BB3A-416C-AAE7-9F381A0D23FA}</author>
    <author>tc={27FDD688-9E1F-4F53-92C1-87B96181DD11}</author>
    <author>tc={0E290AEE-83C5-47DE-BAAF-43ADC3F65936}</author>
    <author>tc={C89F1793-6D94-4EE5-8293-7A5FC08C0E25}</author>
    <author>tc={945B587F-1EB3-4278-98F9-1713EE6643CC}</author>
    <author>tc={D3042518-F58B-4074-B8CA-605AE8B887A5}</author>
    <author>tc={B8DECC61-0DD0-4A6C-9ABB-EB588D3E4017}</author>
    <author>tc={E37BEE9B-BD3B-41CE-9B2D-31F98F20B2E6}</author>
    <author>tc={7FD31F35-604D-43FF-977B-E29D7F9B5A29}</author>
  </authors>
  <commentList>
    <comment ref="H5" authorId="0" shapeId="0" xr:uid="{39F4F2EA-B6E3-4B22-A435-A8342848AA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8" authorId="1" shapeId="0" xr:uid="{F4D5E91C-793C-4B66-AD8E-CC76282C6F6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29" authorId="2" shapeId="0" xr:uid="{5E7BB5EF-14EE-4E23-83BC-0FA4C64063A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0" authorId="3" shapeId="0" xr:uid="{D48E9152-BB3A-416C-AAE7-9F381A0D23F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1" authorId="4" shapeId="0" xr:uid="{27FDD688-9E1F-4F53-92C1-87B96181DD1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2" authorId="5" shapeId="0" xr:uid="{0E290AEE-83C5-47DE-BAAF-43ADC3F6593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6" shapeId="0" xr:uid="{C89F1793-6D94-4EE5-8293-7A5FC08C0E2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5" authorId="7" shapeId="0" xr:uid="{945B587F-1EB3-4278-98F9-1713EE6643C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6" authorId="8" shapeId="0" xr:uid="{D3042518-F58B-4074-B8CA-605AE8B887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H38" authorId="9" shapeId="0" xr:uid="{B8DECC61-0DD0-4A6C-9ABB-EB588D3E401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9" authorId="10" shapeId="0" xr:uid="{E37BEE9B-BD3B-41CE-9B2D-31F98F20B2E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5" authorId="11" shapeId="0" xr:uid="{7FD31F35-604D-43FF-977B-E29D7F9B5A2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<sst xmlns="http://schemas.openxmlformats.org/spreadsheetml/2006/main" count="938" uniqueCount="331">
  <si>
    <t xml:space="preserve"> </t>
    <phoneticPr fontId="2"/>
  </si>
  <si>
    <t>№</t>
  </si>
  <si>
    <t>作 成</t>
  </si>
  <si>
    <t>　　　</t>
    <phoneticPr fontId="2"/>
  </si>
  <si>
    <t>名称</t>
    <rPh sb="0" eb="2">
      <t>メイショウ</t>
    </rPh>
    <phoneticPr fontId="2"/>
  </si>
  <si>
    <t>ﾒｰｶ名</t>
    <phoneticPr fontId="2"/>
  </si>
  <si>
    <t>管理№</t>
    <rPh sb="0" eb="2">
      <t>カンリ</t>
    </rPh>
    <phoneticPr fontId="2"/>
  </si>
  <si>
    <t>定期検査有効期限</t>
    <phoneticPr fontId="2"/>
  </si>
  <si>
    <t>使用期間</t>
    <rPh sb="0" eb="2">
      <t>シヨウ</t>
    </rPh>
    <rPh sb="2" eb="4">
      <t>キカン</t>
    </rPh>
    <phoneticPr fontId="2"/>
  </si>
  <si>
    <t>型式</t>
    <phoneticPr fontId="2"/>
  </si>
  <si>
    <t>管理部署</t>
    <phoneticPr fontId="2"/>
  </si>
  <si>
    <t>使用者</t>
    <rPh sb="0" eb="3">
      <t>シヨウシャ</t>
    </rPh>
    <phoneticPr fontId="2"/>
  </si>
  <si>
    <t>※2　バッテリ電圧</t>
    <rPh sb="7" eb="9">
      <t>デンアツ</t>
    </rPh>
    <phoneticPr fontId="2"/>
  </si>
  <si>
    <t>日付</t>
    <rPh sb="0" eb="2">
      <t>ヒヅケ</t>
    </rPh>
    <phoneticPr fontId="2"/>
  </si>
  <si>
    <t>ﾊﾞｯﾃﾘNo.</t>
    <phoneticPr fontId="2"/>
  </si>
  <si>
    <t>バッテリ電圧[V]</t>
    <rPh sb="4" eb="6">
      <t>デンアツ</t>
    </rPh>
    <phoneticPr fontId="2"/>
  </si>
  <si>
    <t>温湿度</t>
    <rPh sb="0" eb="3">
      <t>オンシツド</t>
    </rPh>
    <phoneticPr fontId="2"/>
  </si>
  <si>
    <t>試験前</t>
    <rPh sb="0" eb="3">
      <t>シケンマエ</t>
    </rPh>
    <phoneticPr fontId="2"/>
  </si>
  <si>
    <t>試験後</t>
    <rPh sb="0" eb="3">
      <t>シケンゴ</t>
    </rPh>
    <phoneticPr fontId="2"/>
  </si>
  <si>
    <t>温度[℃]</t>
    <rPh sb="0" eb="2">
      <t>オンド</t>
    </rPh>
    <phoneticPr fontId="2"/>
  </si>
  <si>
    <t>湿度[%]</t>
    <rPh sb="0" eb="2">
      <t>シツド</t>
    </rPh>
    <phoneticPr fontId="2"/>
  </si>
  <si>
    <t>＜試験備品一覧表＞</t>
    <rPh sb="1" eb="5">
      <t>シケンビヒン</t>
    </rPh>
    <rPh sb="5" eb="7">
      <t>イチラン</t>
    </rPh>
    <rPh sb="7" eb="8">
      <t>ヒョウ</t>
    </rPh>
    <phoneticPr fontId="2"/>
  </si>
  <si>
    <t>試験備品一覧表</t>
    <rPh sb="0" eb="4">
      <t>シケンビヒン</t>
    </rPh>
    <phoneticPr fontId="2"/>
  </si>
  <si>
    <t>試験装置・計測器一覧表</t>
    <phoneticPr fontId="2"/>
  </si>
  <si>
    <t>＜常設設備＞</t>
    <rPh sb="1" eb="5">
      <t>ジョウセツセツビ</t>
    </rPh>
    <phoneticPr fontId="2"/>
  </si>
  <si>
    <t>＜標準ベンチ・ベンチワイヤ・SWボックス＞</t>
    <rPh sb="1" eb="3">
      <t>ヒョウジュン</t>
    </rPh>
    <phoneticPr fontId="2"/>
  </si>
  <si>
    <t>＜外付け負荷等＞</t>
    <rPh sb="1" eb="3">
      <t>ソトヅ</t>
    </rPh>
    <rPh sb="4" eb="6">
      <t>フカ</t>
    </rPh>
    <rPh sb="6" eb="7">
      <t>トウ</t>
    </rPh>
    <phoneticPr fontId="2"/>
  </si>
  <si>
    <t>＜通信機器等＞</t>
    <rPh sb="1" eb="5">
      <t>ツウシンキキ</t>
    </rPh>
    <rPh sb="5" eb="6">
      <t>トウ</t>
    </rPh>
    <phoneticPr fontId="2"/>
  </si>
  <si>
    <t>全社連番</t>
    <rPh sb="0" eb="4">
      <t>ゼンシャレンバン</t>
    </rPh>
    <phoneticPr fontId="2"/>
  </si>
  <si>
    <t>メーカ名</t>
    <phoneticPr fontId="2"/>
  </si>
  <si>
    <t>管理No.</t>
    <phoneticPr fontId="2"/>
  </si>
  <si>
    <r>
      <rPr>
        <sz val="11"/>
        <color theme="1"/>
        <rFont val="游ゴシック"/>
        <family val="2"/>
      </rPr>
      <t>名称</t>
    </r>
    <rPh sb="0" eb="2">
      <t>メイショウ</t>
    </rPh>
    <phoneticPr fontId="18"/>
  </si>
  <si>
    <r>
      <rPr>
        <sz val="11"/>
        <color theme="1"/>
        <rFont val="ＭＳ Ｐゴシック"/>
        <family val="2"/>
        <charset val="128"/>
      </rPr>
      <t>電波暗室</t>
    </r>
    <r>
      <rPr>
        <sz val="11"/>
        <color theme="1"/>
        <rFont val="Arial"/>
        <family val="2"/>
      </rPr>
      <t>2</t>
    </r>
    <rPh sb="0" eb="4">
      <t>デンパアンシツ</t>
    </rPh>
    <phoneticPr fontId="18"/>
  </si>
  <si>
    <r>
      <rPr>
        <sz val="11"/>
        <color theme="1"/>
        <rFont val="游ゴシック"/>
        <family val="2"/>
      </rPr>
      <t>日本シールドエンクロージャ</t>
    </r>
    <rPh sb="0" eb="2">
      <t>ニホン</t>
    </rPh>
    <phoneticPr fontId="19"/>
  </si>
  <si>
    <r>
      <t>J-NP-AR</t>
    </r>
    <r>
      <rPr>
        <sz val="11"/>
        <color theme="1"/>
        <rFont val="游ゴシック"/>
        <family val="2"/>
      </rPr>
      <t>型</t>
    </r>
    <phoneticPr fontId="18"/>
  </si>
  <si>
    <r>
      <rPr>
        <sz val="11"/>
        <color theme="1"/>
        <rFont val="ＭＳ Ｐゴシック"/>
        <family val="2"/>
        <charset val="128"/>
      </rPr>
      <t>モビエレ試験評価部</t>
    </r>
    <rPh sb="4" eb="9">
      <t>シケンヒョウカブ</t>
    </rPh>
    <phoneticPr fontId="18"/>
  </si>
  <si>
    <r>
      <t>EMI</t>
    </r>
    <r>
      <rPr>
        <sz val="11"/>
        <color rgb="FF323232"/>
        <rFont val="游ゴシック"/>
        <family val="3"/>
        <charset val="128"/>
      </rPr>
      <t>テストレシーバ</t>
    </r>
    <phoneticPr fontId="18"/>
  </si>
  <si>
    <r>
      <t>ROHDE</t>
    </r>
    <r>
      <rPr>
        <sz val="11"/>
        <color theme="1"/>
        <rFont val="游ゴシック"/>
        <family val="2"/>
      </rPr>
      <t>＆</t>
    </r>
    <r>
      <rPr>
        <sz val="11"/>
        <color theme="1"/>
        <rFont val="Arial"/>
        <family val="2"/>
      </rPr>
      <t>SCHWARZ</t>
    </r>
    <phoneticPr fontId="19"/>
  </si>
  <si>
    <t>ESW8</t>
    <phoneticPr fontId="18"/>
  </si>
  <si>
    <t>SXZS5050</t>
    <phoneticPr fontId="18"/>
  </si>
  <si>
    <t>スペクトラムアナライザ</t>
  </si>
  <si>
    <t>Agilent Technologies</t>
    <phoneticPr fontId="18"/>
  </si>
  <si>
    <t>N9020A</t>
    <phoneticPr fontId="18"/>
  </si>
  <si>
    <t>SXSA1780</t>
    <phoneticPr fontId="18"/>
  </si>
  <si>
    <t>アクティブロッドアンテナ</t>
  </si>
  <si>
    <r>
      <t>ETS</t>
    </r>
    <r>
      <rPr>
        <sz val="11"/>
        <color theme="1"/>
        <rFont val="游ゴシック"/>
        <family val="2"/>
      </rPr>
      <t>・</t>
    </r>
    <r>
      <rPr>
        <sz val="11"/>
        <color theme="1"/>
        <rFont val="Arial"/>
        <family val="2"/>
      </rPr>
      <t>LINDGREN</t>
    </r>
    <phoneticPr fontId="18"/>
  </si>
  <si>
    <t>3301C</t>
    <phoneticPr fontId="18"/>
  </si>
  <si>
    <t>S ZS4319</t>
    <phoneticPr fontId="18"/>
  </si>
  <si>
    <r>
      <rPr>
        <sz val="11"/>
        <color theme="1"/>
        <rFont val="游ゴシック"/>
        <family val="2"/>
      </rPr>
      <t>バイコニカルアンテナ</t>
    </r>
  </si>
  <si>
    <t>SCHWARZBECK</t>
    <phoneticPr fontId="18"/>
  </si>
  <si>
    <t>BBA9106+VHA9103</t>
    <phoneticPr fontId="18"/>
  </si>
  <si>
    <t>S ZS3471</t>
    <phoneticPr fontId="18"/>
  </si>
  <si>
    <r>
      <rPr>
        <sz val="11"/>
        <color theme="1"/>
        <rFont val="游ゴシック"/>
        <family val="2"/>
      </rPr>
      <t>ログペリオディックアンテナ</t>
    </r>
  </si>
  <si>
    <r>
      <rPr>
        <sz val="11"/>
        <color theme="1"/>
        <rFont val="游ゴシック"/>
        <family val="2"/>
      </rPr>
      <t>協立電子工業</t>
    </r>
    <rPh sb="4" eb="6">
      <t>コウギョウ</t>
    </rPh>
    <phoneticPr fontId="18"/>
  </si>
  <si>
    <t>KBA-623</t>
    <phoneticPr fontId="18"/>
  </si>
  <si>
    <t>S ZS3472</t>
    <phoneticPr fontId="18"/>
  </si>
  <si>
    <r>
      <rPr>
        <sz val="11"/>
        <color theme="1"/>
        <rFont val="游ゴシック"/>
        <family val="2"/>
      </rPr>
      <t>ダブルリッジホーンアンテナ</t>
    </r>
    <r>
      <rPr>
        <sz val="11"/>
        <color theme="1"/>
        <rFont val="Arial"/>
        <family val="2"/>
      </rPr>
      <t>[ BBHA ]</t>
    </r>
    <phoneticPr fontId="18"/>
  </si>
  <si>
    <t>BBHA9120E</t>
    <phoneticPr fontId="18"/>
  </si>
  <si>
    <t>SXZS5191</t>
    <phoneticPr fontId="18"/>
  </si>
  <si>
    <r>
      <rPr>
        <sz val="11"/>
        <color theme="1"/>
        <rFont val="游ゴシック"/>
        <family val="2"/>
      </rPr>
      <t>ダブルリッジホーンアンテナ</t>
    </r>
    <r>
      <rPr>
        <sz val="11"/>
        <color theme="1"/>
        <rFont val="Arial"/>
        <family val="2"/>
      </rPr>
      <t>[ 3115 ]</t>
    </r>
    <phoneticPr fontId="18"/>
  </si>
  <si>
    <t>SXZS5713</t>
    <phoneticPr fontId="18"/>
  </si>
  <si>
    <r>
      <t>60cm</t>
    </r>
    <r>
      <rPr>
        <sz val="11"/>
        <color theme="1"/>
        <rFont val="游ゴシック"/>
        <family val="2"/>
      </rPr>
      <t>ループアンテナ</t>
    </r>
    <phoneticPr fontId="18"/>
  </si>
  <si>
    <t>SXZS5372</t>
    <phoneticPr fontId="18"/>
  </si>
  <si>
    <r>
      <t>6cm</t>
    </r>
    <r>
      <rPr>
        <sz val="11"/>
        <color theme="1"/>
        <rFont val="游ゴシック"/>
        <family val="2"/>
      </rPr>
      <t>ループアンテナ（暗室</t>
    </r>
    <r>
      <rPr>
        <sz val="11"/>
        <color theme="1"/>
        <rFont val="Arial"/>
        <family val="2"/>
      </rPr>
      <t>2</t>
    </r>
    <r>
      <rPr>
        <sz val="11"/>
        <color theme="1"/>
        <rFont val="游ゴシック"/>
        <family val="2"/>
      </rPr>
      <t>用）</t>
    </r>
    <phoneticPr fontId="18"/>
  </si>
  <si>
    <r>
      <t>ROHDE</t>
    </r>
    <r>
      <rPr>
        <sz val="11"/>
        <color theme="1"/>
        <rFont val="游ゴシック"/>
        <family val="2"/>
      </rPr>
      <t>＆</t>
    </r>
    <r>
      <rPr>
        <sz val="11"/>
        <color theme="1"/>
        <rFont val="Arial"/>
        <family val="2"/>
      </rPr>
      <t>SCHWARZ</t>
    </r>
    <phoneticPr fontId="18"/>
  </si>
  <si>
    <t>HZ-11/05</t>
    <phoneticPr fontId="18"/>
  </si>
  <si>
    <t>S ZS3488</t>
    <phoneticPr fontId="18"/>
  </si>
  <si>
    <r>
      <rPr>
        <sz val="11"/>
        <color theme="1"/>
        <rFont val="游ゴシック"/>
        <family val="2"/>
      </rPr>
      <t>プリアンプ</t>
    </r>
    <r>
      <rPr>
        <sz val="11"/>
        <color theme="1"/>
        <rFont val="Arial"/>
        <family val="2"/>
      </rPr>
      <t>[ SONOMA ]</t>
    </r>
    <phoneticPr fontId="18"/>
  </si>
  <si>
    <t>Sonoma Instrument</t>
    <phoneticPr fontId="18"/>
  </si>
  <si>
    <t>310N</t>
    <phoneticPr fontId="18"/>
  </si>
  <si>
    <t>ZXZZ6663</t>
    <phoneticPr fontId="18"/>
  </si>
  <si>
    <r>
      <rPr>
        <sz val="11"/>
        <color theme="1"/>
        <rFont val="游ゴシック"/>
        <family val="2"/>
      </rPr>
      <t>プリアンプ</t>
    </r>
    <r>
      <rPr>
        <sz val="11"/>
        <color theme="1"/>
        <rFont val="Arial"/>
        <family val="2"/>
      </rPr>
      <t>[ tsj ]</t>
    </r>
    <phoneticPr fontId="18"/>
  </si>
  <si>
    <t>tsj</t>
    <phoneticPr fontId="18"/>
  </si>
  <si>
    <t>MLA-0108-j02</t>
    <phoneticPr fontId="18"/>
  </si>
  <si>
    <t>SAMS0733</t>
    <phoneticPr fontId="18"/>
  </si>
  <si>
    <r>
      <rPr>
        <sz val="11"/>
        <color theme="1"/>
        <rFont val="游ゴシック"/>
        <family val="2"/>
      </rPr>
      <t>プリアンプ</t>
    </r>
    <r>
      <rPr>
        <sz val="11"/>
        <color theme="1"/>
        <rFont val="Arial"/>
        <family val="2"/>
      </rPr>
      <t>[ 6cm</t>
    </r>
    <r>
      <rPr>
        <sz val="11"/>
        <color theme="1"/>
        <rFont val="游ゴシック"/>
        <family val="2"/>
      </rPr>
      <t>ループ用</t>
    </r>
    <r>
      <rPr>
        <sz val="11"/>
        <color theme="1"/>
        <rFont val="Arial"/>
        <family val="2"/>
      </rPr>
      <t xml:space="preserve"> ]</t>
    </r>
    <rPh sb="13" eb="14">
      <t>ヨウ</t>
    </rPh>
    <phoneticPr fontId="18"/>
  </si>
  <si>
    <r>
      <rPr>
        <sz val="11"/>
        <color theme="1"/>
        <rFont val="游ゴシック"/>
        <family val="2"/>
      </rPr>
      <t>東陽テクニカ</t>
    </r>
    <phoneticPr fontId="18"/>
  </si>
  <si>
    <t>TPA-AM1431</t>
    <phoneticPr fontId="18"/>
  </si>
  <si>
    <t>SAMS0705</t>
    <phoneticPr fontId="18"/>
  </si>
  <si>
    <r>
      <rPr>
        <sz val="11"/>
        <color theme="1"/>
        <rFont val="游ゴシック"/>
        <family val="2"/>
      </rPr>
      <t>暗室内同軸ケーブル</t>
    </r>
    <rPh sb="0" eb="3">
      <t>アンシツナイ</t>
    </rPh>
    <rPh sb="3" eb="5">
      <t>ドウジク</t>
    </rPh>
    <phoneticPr fontId="18"/>
  </si>
  <si>
    <r>
      <rPr>
        <sz val="11"/>
        <color theme="1"/>
        <rFont val="游ゴシック"/>
        <family val="2"/>
      </rPr>
      <t>潤工社</t>
    </r>
    <rPh sb="0" eb="3">
      <t>ジュンコウシャ</t>
    </rPh>
    <phoneticPr fontId="18"/>
  </si>
  <si>
    <t>MWX322</t>
    <phoneticPr fontId="18"/>
  </si>
  <si>
    <t>2401G001</t>
    <phoneticPr fontId="18"/>
  </si>
  <si>
    <r>
      <rPr>
        <sz val="11"/>
        <color theme="1"/>
        <rFont val="游ゴシック"/>
        <family val="2"/>
      </rPr>
      <t>電流プローブ</t>
    </r>
    <r>
      <rPr>
        <sz val="11"/>
        <color theme="1"/>
        <rFont val="Arial"/>
        <family val="2"/>
      </rPr>
      <t>[ 91550-1 ]</t>
    </r>
    <rPh sb="0" eb="2">
      <t>デンリュウ</t>
    </rPh>
    <phoneticPr fontId="18"/>
  </si>
  <si>
    <t>91550-1</t>
    <phoneticPr fontId="18"/>
  </si>
  <si>
    <t>00156744</t>
    <phoneticPr fontId="18"/>
  </si>
  <si>
    <r>
      <rPr>
        <sz val="11"/>
        <color theme="1"/>
        <rFont val="游ゴシック"/>
        <family val="2"/>
      </rPr>
      <t>電流プローブ</t>
    </r>
    <r>
      <rPr>
        <sz val="11"/>
        <color theme="1"/>
        <rFont val="Arial"/>
        <family val="2"/>
      </rPr>
      <t>[ 94111-1]</t>
    </r>
    <rPh sb="0" eb="2">
      <t>デンリュウ</t>
    </rPh>
    <phoneticPr fontId="18"/>
  </si>
  <si>
    <t>94111-1</t>
    <phoneticPr fontId="18"/>
  </si>
  <si>
    <t>S CP0916</t>
    <phoneticPr fontId="18"/>
  </si>
  <si>
    <r>
      <t>3dB</t>
    </r>
    <r>
      <rPr>
        <sz val="11"/>
        <color theme="1"/>
        <rFont val="游ゴシック"/>
        <family val="2"/>
      </rPr>
      <t>アッテネータ</t>
    </r>
    <phoneticPr fontId="18"/>
  </si>
  <si>
    <t>JFW Industries</t>
    <phoneticPr fontId="18"/>
  </si>
  <si>
    <t>50HF-003N</t>
    <phoneticPr fontId="18"/>
  </si>
  <si>
    <t>-</t>
    <phoneticPr fontId="18"/>
  </si>
  <si>
    <t>LISN</t>
    <phoneticPr fontId="18"/>
  </si>
  <si>
    <t>NNBM8124</t>
    <phoneticPr fontId="18"/>
  </si>
  <si>
    <t>Z ZZ6417</t>
    <phoneticPr fontId="18"/>
  </si>
  <si>
    <t>Z ZZ6418</t>
    <phoneticPr fontId="18"/>
  </si>
  <si>
    <r>
      <t xml:space="preserve">50Ω </t>
    </r>
    <r>
      <rPr>
        <sz val="11"/>
        <color rgb="FF323232"/>
        <rFont val="游ゴシック"/>
        <family val="3"/>
        <charset val="128"/>
      </rPr>
      <t>終端抵抗</t>
    </r>
    <phoneticPr fontId="18"/>
  </si>
  <si>
    <t>No.041</t>
    <phoneticPr fontId="18"/>
  </si>
  <si>
    <t>No.042</t>
    <phoneticPr fontId="18"/>
  </si>
  <si>
    <r>
      <rPr>
        <sz val="11"/>
        <color theme="1"/>
        <rFont val="游ゴシック"/>
        <family val="2"/>
      </rPr>
      <t>デジタルテスタ</t>
    </r>
    <phoneticPr fontId="18"/>
  </si>
  <si>
    <t>HIOKI</t>
    <phoneticPr fontId="18"/>
  </si>
  <si>
    <t>DT4261</t>
    <phoneticPr fontId="18"/>
  </si>
  <si>
    <r>
      <rPr>
        <sz val="11"/>
        <color theme="1"/>
        <rFont val="游ゴシック"/>
        <family val="2"/>
      </rPr>
      <t>デジタル温湿度計</t>
    </r>
    <rPh sb="4" eb="7">
      <t>オンシツド</t>
    </rPh>
    <rPh sb="7" eb="8">
      <t>ケイ</t>
    </rPh>
    <phoneticPr fontId="19"/>
  </si>
  <si>
    <t>LR5001</t>
    <phoneticPr fontId="18"/>
  </si>
  <si>
    <t>104_B1F_南暗室2</t>
  </si>
  <si>
    <r>
      <rPr>
        <sz val="11"/>
        <rFont val="ＭＳ Ｐゴシック"/>
        <family val="3"/>
        <charset val="128"/>
      </rPr>
      <t>部屋</t>
    </r>
    <rPh sb="0" eb="2">
      <t>ヘヤ</t>
    </rPh>
    <phoneticPr fontId="2"/>
  </si>
  <si>
    <r>
      <t>104_B1F_</t>
    </r>
    <r>
      <rPr>
        <sz val="11"/>
        <rFont val="ＭＳ Ｐゴシック"/>
        <family val="3"/>
        <charset val="128"/>
      </rPr>
      <t>南暗室</t>
    </r>
    <r>
      <rPr>
        <sz val="11"/>
        <rFont val="Arial"/>
        <family val="2"/>
      </rPr>
      <t>2</t>
    </r>
    <phoneticPr fontId="2"/>
  </si>
  <si>
    <t>LISN</t>
  </si>
  <si>
    <t>SXZS4922</t>
    <phoneticPr fontId="18"/>
  </si>
  <si>
    <t>MY52090696</t>
    <phoneticPr fontId="18"/>
  </si>
  <si>
    <t>バイコニカルアンテナ</t>
  </si>
  <si>
    <t>BBA9106+VHA9103B</t>
    <phoneticPr fontId="18"/>
  </si>
  <si>
    <t>S ZS3805</t>
    <phoneticPr fontId="18"/>
  </si>
  <si>
    <t>ログペリオディックアンテナ</t>
  </si>
  <si>
    <t>SXZS5025</t>
    <phoneticPr fontId="18"/>
  </si>
  <si>
    <t>SXZS5373</t>
    <phoneticPr fontId="18"/>
  </si>
  <si>
    <t>ZXZZ6665</t>
    <phoneticPr fontId="18"/>
  </si>
  <si>
    <t>SAMS0732</t>
    <phoneticPr fontId="18"/>
  </si>
  <si>
    <t>SAMS0706</t>
    <phoneticPr fontId="18"/>
  </si>
  <si>
    <t>2208G004</t>
    <phoneticPr fontId="18"/>
  </si>
  <si>
    <t>IMA 7042</t>
    <phoneticPr fontId="18"/>
  </si>
  <si>
    <t>No.019</t>
    <phoneticPr fontId="18"/>
  </si>
  <si>
    <t>No.020</t>
    <phoneticPr fontId="18"/>
  </si>
  <si>
    <t>FLUKE</t>
    <phoneticPr fontId="18"/>
  </si>
  <si>
    <t>29520823WS</t>
    <phoneticPr fontId="18"/>
  </si>
  <si>
    <r>
      <rPr>
        <sz val="11"/>
        <rFont val="ＭＳ Ｐゴシック"/>
        <family val="2"/>
        <charset val="128"/>
      </rPr>
      <t>電波暗室</t>
    </r>
    <r>
      <rPr>
        <sz val="11"/>
        <rFont val="ＭＳ Ｐゴシック"/>
        <family val="2"/>
        <charset val="128"/>
      </rPr>
      <t>12</t>
    </r>
    <rPh sb="0" eb="4">
      <t>デンパアンシツ</t>
    </rPh>
    <phoneticPr fontId="18"/>
  </si>
  <si>
    <r>
      <t>EMI</t>
    </r>
    <r>
      <rPr>
        <sz val="11"/>
        <rFont val="游ゴシック"/>
        <family val="3"/>
        <charset val="128"/>
      </rPr>
      <t>テストレシーバ</t>
    </r>
    <phoneticPr fontId="18"/>
  </si>
  <si>
    <r>
      <rPr>
        <sz val="11"/>
        <rFont val="游ゴシック"/>
        <family val="2"/>
      </rPr>
      <t>ダブルリッジホーンアンテナ</t>
    </r>
    <r>
      <rPr>
        <sz val="11"/>
        <rFont val="ＭＳ Ｐゴシック"/>
        <family val="2"/>
        <charset val="128"/>
      </rPr>
      <t>[ BBHA ]</t>
    </r>
    <phoneticPr fontId="18"/>
  </si>
  <si>
    <r>
      <rPr>
        <sz val="11"/>
        <rFont val="游ゴシック"/>
        <family val="2"/>
      </rPr>
      <t>ダブルリッジホーンアンテナ</t>
    </r>
    <r>
      <rPr>
        <sz val="11"/>
        <rFont val="ＭＳ Ｐゴシック"/>
        <family val="2"/>
        <charset val="128"/>
      </rPr>
      <t>[ 3115 ]</t>
    </r>
    <phoneticPr fontId="18"/>
  </si>
  <si>
    <r>
      <t>60cm</t>
    </r>
    <r>
      <rPr>
        <sz val="11"/>
        <rFont val="游ゴシック"/>
        <family val="2"/>
      </rPr>
      <t>ループアンテナ</t>
    </r>
    <phoneticPr fontId="18"/>
  </si>
  <si>
    <r>
      <t>6cm</t>
    </r>
    <r>
      <rPr>
        <sz val="11"/>
        <rFont val="游ゴシック"/>
        <family val="2"/>
      </rPr>
      <t>ループアンテナ（暗室</t>
    </r>
    <r>
      <rPr>
        <sz val="11"/>
        <rFont val="ＭＳ Ｐゴシック"/>
        <family val="2"/>
        <charset val="128"/>
      </rPr>
      <t>2</t>
    </r>
    <r>
      <rPr>
        <sz val="11"/>
        <rFont val="游ゴシック"/>
        <family val="2"/>
      </rPr>
      <t>用）</t>
    </r>
    <rPh sb="11" eb="13">
      <t>アンシツ</t>
    </rPh>
    <rPh sb="14" eb="15">
      <t>ヨウ</t>
    </rPh>
    <phoneticPr fontId="18"/>
  </si>
  <si>
    <r>
      <rPr>
        <sz val="11"/>
        <rFont val="游ゴシック"/>
        <family val="2"/>
      </rPr>
      <t>プリアンプ</t>
    </r>
    <r>
      <rPr>
        <sz val="11"/>
        <rFont val="ＭＳ Ｐゴシック"/>
        <family val="2"/>
        <charset val="128"/>
      </rPr>
      <t>[ SONOMA ]</t>
    </r>
    <phoneticPr fontId="18"/>
  </si>
  <si>
    <r>
      <rPr>
        <sz val="11"/>
        <rFont val="游ゴシック"/>
        <family val="2"/>
      </rPr>
      <t>プリアンプ</t>
    </r>
    <r>
      <rPr>
        <sz val="11"/>
        <rFont val="ＭＳ Ｐゴシック"/>
        <family val="2"/>
        <charset val="128"/>
      </rPr>
      <t>[ tsj ]</t>
    </r>
    <phoneticPr fontId="18"/>
  </si>
  <si>
    <r>
      <rPr>
        <sz val="11"/>
        <rFont val="游ゴシック"/>
        <family val="2"/>
      </rPr>
      <t>プリアンプ</t>
    </r>
    <r>
      <rPr>
        <sz val="11"/>
        <rFont val="ＭＳ Ｐゴシック"/>
        <family val="2"/>
        <charset val="128"/>
      </rPr>
      <t>[ 6cm</t>
    </r>
    <r>
      <rPr>
        <sz val="11"/>
        <rFont val="游ゴシック"/>
        <family val="2"/>
      </rPr>
      <t>ループ用</t>
    </r>
    <r>
      <rPr>
        <sz val="11"/>
        <rFont val="ＭＳ Ｐゴシック"/>
        <family val="2"/>
        <charset val="128"/>
      </rPr>
      <t xml:space="preserve"> ]</t>
    </r>
    <rPh sb="13" eb="14">
      <t>ヨウ</t>
    </rPh>
    <phoneticPr fontId="18"/>
  </si>
  <si>
    <r>
      <rPr>
        <sz val="11"/>
        <rFont val="游ゴシック"/>
        <family val="2"/>
      </rPr>
      <t>暗室内同軸ケーブル</t>
    </r>
    <rPh sb="0" eb="3">
      <t>アンシツナイ</t>
    </rPh>
    <rPh sb="3" eb="5">
      <t>ドウジク</t>
    </rPh>
    <phoneticPr fontId="18"/>
  </si>
  <si>
    <r>
      <t>3dB</t>
    </r>
    <r>
      <rPr>
        <sz val="11"/>
        <rFont val="游ゴシック"/>
        <family val="2"/>
      </rPr>
      <t>アッテネータ</t>
    </r>
    <phoneticPr fontId="18"/>
  </si>
  <si>
    <r>
      <t xml:space="preserve">50Ω </t>
    </r>
    <r>
      <rPr>
        <sz val="11"/>
        <rFont val="游ゴシック"/>
        <family val="3"/>
        <charset val="128"/>
      </rPr>
      <t>終端抵抗</t>
    </r>
    <phoneticPr fontId="18"/>
  </si>
  <si>
    <r>
      <rPr>
        <sz val="11"/>
        <rFont val="游ゴシック"/>
        <family val="2"/>
      </rPr>
      <t>デジタルテスタ</t>
    </r>
    <phoneticPr fontId="18"/>
  </si>
  <si>
    <r>
      <rPr>
        <sz val="11"/>
        <rFont val="游ゴシック"/>
        <family val="2"/>
      </rPr>
      <t>デジタル温湿度計</t>
    </r>
    <rPh sb="4" eb="7">
      <t>オンシツド</t>
    </rPh>
    <rPh sb="7" eb="8">
      <t>ケイ</t>
    </rPh>
    <phoneticPr fontId="19"/>
  </si>
  <si>
    <r>
      <rPr>
        <sz val="11"/>
        <rFont val="游ゴシック"/>
        <family val="2"/>
      </rPr>
      <t>日本シールドエンクロージャ</t>
    </r>
    <rPh sb="0" eb="2">
      <t>ニホン</t>
    </rPh>
    <phoneticPr fontId="19"/>
  </si>
  <si>
    <r>
      <t>ROHDE</t>
    </r>
    <r>
      <rPr>
        <sz val="11"/>
        <rFont val="游ゴシック"/>
        <family val="2"/>
      </rPr>
      <t>＆</t>
    </r>
    <r>
      <rPr>
        <sz val="11"/>
        <rFont val="ＭＳ Ｐゴシック"/>
        <family val="2"/>
        <charset val="128"/>
      </rPr>
      <t>SCHWARZ</t>
    </r>
    <phoneticPr fontId="19"/>
  </si>
  <si>
    <r>
      <t>ETS</t>
    </r>
    <r>
      <rPr>
        <sz val="11"/>
        <rFont val="游ゴシック"/>
        <family val="2"/>
      </rPr>
      <t>・</t>
    </r>
    <r>
      <rPr>
        <sz val="11"/>
        <rFont val="ＭＳ Ｐゴシック"/>
        <family val="2"/>
        <charset val="128"/>
      </rPr>
      <t>LINDGREN</t>
    </r>
    <phoneticPr fontId="18"/>
  </si>
  <si>
    <r>
      <rPr>
        <sz val="11"/>
        <rFont val="游ゴシック"/>
        <family val="2"/>
      </rPr>
      <t>協立電子工業</t>
    </r>
    <rPh sb="4" eb="6">
      <t>コウギョウ</t>
    </rPh>
    <phoneticPr fontId="18"/>
  </si>
  <si>
    <r>
      <t>ROHDE</t>
    </r>
    <r>
      <rPr>
        <sz val="11"/>
        <rFont val="游ゴシック"/>
        <family val="2"/>
      </rPr>
      <t>＆</t>
    </r>
    <r>
      <rPr>
        <sz val="11"/>
        <rFont val="ＭＳ Ｐゴシック"/>
        <family val="2"/>
        <charset val="128"/>
      </rPr>
      <t>SCHWARZ</t>
    </r>
    <phoneticPr fontId="18"/>
  </si>
  <si>
    <r>
      <rPr>
        <sz val="11"/>
        <rFont val="游ゴシック"/>
        <family val="2"/>
      </rPr>
      <t>東陽テクニカ</t>
    </r>
    <phoneticPr fontId="18"/>
  </si>
  <si>
    <r>
      <rPr>
        <sz val="11"/>
        <rFont val="游ゴシック"/>
        <family val="2"/>
      </rPr>
      <t>潤工社</t>
    </r>
    <rPh sb="0" eb="3">
      <t>ジュンコウシャ</t>
    </rPh>
    <phoneticPr fontId="18"/>
  </si>
  <si>
    <r>
      <t>J-NP-AR</t>
    </r>
    <r>
      <rPr>
        <sz val="11"/>
        <rFont val="游ゴシック"/>
        <family val="2"/>
      </rPr>
      <t>型</t>
    </r>
    <phoneticPr fontId="18"/>
  </si>
  <si>
    <r>
      <rPr>
        <sz val="11"/>
        <rFont val="ＭＳ Ｐゴシック"/>
        <family val="2"/>
        <charset val="128"/>
      </rPr>
      <t>モビエレ試験評価部</t>
    </r>
    <rPh sb="4" eb="9">
      <t>シケンヒョウカブ</t>
    </rPh>
    <phoneticPr fontId="18"/>
  </si>
  <si>
    <r>
      <t>104_B1F_</t>
    </r>
    <r>
      <rPr>
        <sz val="11"/>
        <rFont val="ＭＳ Ｐゴシック"/>
        <family val="2"/>
        <charset val="128"/>
      </rPr>
      <t>北暗室</t>
    </r>
    <r>
      <rPr>
        <sz val="11"/>
        <rFont val="Arial"/>
        <family val="2"/>
      </rPr>
      <t>12</t>
    </r>
    <phoneticPr fontId="2"/>
  </si>
  <si>
    <t>日本シールドエンクロージャ</t>
    <rPh sb="0" eb="2">
      <t>ニホン</t>
    </rPh>
    <phoneticPr fontId="19"/>
  </si>
  <si>
    <t>2013002-1</t>
    <phoneticPr fontId="18"/>
  </si>
  <si>
    <t>モビエレ試験評価部</t>
    <rPh sb="4" eb="9">
      <t>シケンヒョウカブ</t>
    </rPh>
    <phoneticPr fontId="18"/>
  </si>
  <si>
    <t>ESW8</t>
  </si>
  <si>
    <t>SXZS4921</t>
    <phoneticPr fontId="18"/>
  </si>
  <si>
    <t xml:space="preserve">Agilent Technologies </t>
    <phoneticPr fontId="18"/>
  </si>
  <si>
    <t>S SA1437</t>
    <phoneticPr fontId="18"/>
  </si>
  <si>
    <t>MWF</t>
    <phoneticPr fontId="18"/>
  </si>
  <si>
    <t>MRM-S4DT</t>
  </si>
  <si>
    <t>ZXZZ6664</t>
    <phoneticPr fontId="18"/>
  </si>
  <si>
    <t>DEVICE</t>
  </si>
  <si>
    <t>DW3211A1/O</t>
  </si>
  <si>
    <t>アクティブロッドアンテナロッドアンテナ</t>
  </si>
  <si>
    <t>3301C</t>
  </si>
  <si>
    <t>00156311</t>
    <phoneticPr fontId="18"/>
  </si>
  <si>
    <t>バイコニカルアンテナ</t>
    <phoneticPr fontId="18"/>
  </si>
  <si>
    <t xml:space="preserve">SCHWARZBECK </t>
  </si>
  <si>
    <t>VHA91032925</t>
    <phoneticPr fontId="18"/>
  </si>
  <si>
    <t>ログペリオディックアンテナ</t>
    <phoneticPr fontId="18"/>
  </si>
  <si>
    <t>KBA-623</t>
  </si>
  <si>
    <t>0-573-1</t>
    <phoneticPr fontId="18"/>
  </si>
  <si>
    <t>BBHA9120E</t>
  </si>
  <si>
    <t>SXZS5192</t>
    <phoneticPr fontId="18"/>
  </si>
  <si>
    <t>ETS LINDGREN</t>
    <phoneticPr fontId="18"/>
  </si>
  <si>
    <t>00140274</t>
    <phoneticPr fontId="18"/>
  </si>
  <si>
    <t>310N</t>
  </si>
  <si>
    <t>MLA-0108-J02</t>
    <phoneticPr fontId="18"/>
  </si>
  <si>
    <t>SAMS0722</t>
    <phoneticPr fontId="18"/>
  </si>
  <si>
    <t>MWX322</t>
  </si>
  <si>
    <t>HUBER+SUHNER</t>
  </si>
  <si>
    <t>SM141</t>
  </si>
  <si>
    <t>91550-1</t>
  </si>
  <si>
    <t>94111-1</t>
  </si>
  <si>
    <t>00055390</t>
    <phoneticPr fontId="18"/>
  </si>
  <si>
    <t>50HF-003N</t>
  </si>
  <si>
    <t>KEYSIGHT</t>
  </si>
  <si>
    <t>8495B</t>
  </si>
  <si>
    <t>NNBM8124</t>
  </si>
  <si>
    <t>IMB 3394</t>
    <phoneticPr fontId="18"/>
  </si>
  <si>
    <t>HUBER+SUHNER</t>
    <phoneticPr fontId="18"/>
  </si>
  <si>
    <t>6506.01.A</t>
  </si>
  <si>
    <r>
      <rPr>
        <sz val="11"/>
        <color rgb="FF323232"/>
        <rFont val="游ゴシック"/>
        <family val="3"/>
        <charset val="128"/>
      </rPr>
      <t>デジタルマルチメータ</t>
    </r>
  </si>
  <si>
    <t>FLUKE</t>
  </si>
  <si>
    <t>デジタル温湿度計</t>
    <rPh sb="4" eb="7">
      <t>オンシツド</t>
    </rPh>
    <rPh sb="7" eb="8">
      <t>ケイ</t>
    </rPh>
    <phoneticPr fontId="19"/>
  </si>
  <si>
    <t>HIOKI</t>
  </si>
  <si>
    <t>LR5001</t>
  </si>
  <si>
    <t>RM3544</t>
  </si>
  <si>
    <r>
      <t>電波暗室</t>
    </r>
    <r>
      <rPr>
        <sz val="11"/>
        <rFont val="Arial"/>
        <family val="2"/>
      </rPr>
      <t>14</t>
    </r>
    <rPh sb="0" eb="2">
      <t>デンパ</t>
    </rPh>
    <rPh sb="2" eb="4">
      <t>アンシツ</t>
    </rPh>
    <phoneticPr fontId="18"/>
  </si>
  <si>
    <r>
      <t>RF</t>
    </r>
    <r>
      <rPr>
        <sz val="11"/>
        <rFont val="游ゴシック"/>
        <family val="3"/>
        <charset val="128"/>
      </rPr>
      <t>セレクタ</t>
    </r>
    <phoneticPr fontId="18"/>
  </si>
  <si>
    <r>
      <rPr>
        <sz val="11"/>
        <rFont val="游ゴシック"/>
        <family val="3"/>
        <charset val="128"/>
      </rPr>
      <t>アンテナ自動偏波切換装置</t>
    </r>
    <phoneticPr fontId="18"/>
  </si>
  <si>
    <r>
      <rPr>
        <sz val="11"/>
        <rFont val="游ゴシック"/>
        <family val="3"/>
        <charset val="128"/>
      </rPr>
      <t>暗室内同柚ケーブル</t>
    </r>
    <r>
      <rPr>
        <sz val="11"/>
        <rFont val="ＭＳ Ｐゴシック"/>
        <family val="2"/>
        <charset val="128"/>
      </rPr>
      <t>(2m)</t>
    </r>
    <rPh sb="0" eb="3">
      <t>アンシツナイ</t>
    </rPh>
    <phoneticPr fontId="18"/>
  </si>
  <si>
    <r>
      <rPr>
        <sz val="11"/>
        <rFont val="游ゴシック"/>
        <family val="3"/>
        <charset val="128"/>
      </rPr>
      <t>同軸ケーブル</t>
    </r>
    <r>
      <rPr>
        <sz val="11"/>
        <rFont val="ＭＳ Ｐゴシック"/>
        <family val="2"/>
        <charset val="128"/>
      </rPr>
      <t>(1m)</t>
    </r>
    <phoneticPr fontId="18"/>
  </si>
  <si>
    <r>
      <rPr>
        <sz val="11"/>
        <rFont val="游ゴシック"/>
        <family val="3"/>
        <charset val="128"/>
      </rPr>
      <t>同軸ケーブル</t>
    </r>
    <r>
      <rPr>
        <sz val="11"/>
        <rFont val="ＭＳ Ｐゴシック"/>
        <family val="2"/>
        <charset val="128"/>
      </rPr>
      <t>(0.1m)</t>
    </r>
    <phoneticPr fontId="18"/>
  </si>
  <si>
    <r>
      <rPr>
        <sz val="11"/>
        <rFont val="游ゴシック"/>
        <family val="3"/>
        <charset val="128"/>
      </rPr>
      <t>同軸ケーブル</t>
    </r>
    <r>
      <rPr>
        <sz val="11"/>
        <rFont val="ＭＳ Ｐゴシック"/>
        <family val="2"/>
        <charset val="128"/>
      </rPr>
      <t>(0.35m)</t>
    </r>
    <phoneticPr fontId="18"/>
  </si>
  <si>
    <r>
      <rPr>
        <sz val="11"/>
        <rFont val="游ゴシック"/>
        <family val="3"/>
        <charset val="128"/>
      </rPr>
      <t>同軸ケープル</t>
    </r>
    <r>
      <rPr>
        <sz val="11"/>
        <rFont val="ＭＳ Ｐゴシック"/>
        <family val="2"/>
        <charset val="128"/>
      </rPr>
      <t>(0.5m)</t>
    </r>
    <phoneticPr fontId="18"/>
  </si>
  <si>
    <r>
      <t>電流プローブ</t>
    </r>
    <r>
      <rPr>
        <sz val="11"/>
        <rFont val="Arial"/>
        <family val="2"/>
      </rPr>
      <t>[ 91550-1 ]</t>
    </r>
    <rPh sb="0" eb="2">
      <t>デンリュウ</t>
    </rPh>
    <phoneticPr fontId="18"/>
  </si>
  <si>
    <r>
      <rPr>
        <sz val="11"/>
        <rFont val="游ゴシック"/>
        <family val="2"/>
      </rPr>
      <t>電流プローブ</t>
    </r>
    <r>
      <rPr>
        <sz val="11"/>
        <rFont val="ＭＳ Ｐゴシック"/>
        <family val="2"/>
        <charset val="128"/>
      </rPr>
      <t>[ 94111-1]</t>
    </r>
    <rPh sb="0" eb="2">
      <t>デンリュウ</t>
    </rPh>
    <phoneticPr fontId="18"/>
  </si>
  <si>
    <r>
      <t>3dB</t>
    </r>
    <r>
      <rPr>
        <sz val="11"/>
        <rFont val="游ゴシック"/>
        <family val="3"/>
        <charset val="128"/>
      </rPr>
      <t>アッテネータ</t>
    </r>
  </si>
  <si>
    <r>
      <rPr>
        <sz val="11"/>
        <rFont val="游ゴシック"/>
        <family val="3"/>
        <charset val="128"/>
      </rPr>
      <t>ステップ</t>
    </r>
    <r>
      <rPr>
        <sz val="11"/>
        <rFont val="ＭＳ Ｐゴシック"/>
        <family val="2"/>
        <charset val="128"/>
      </rPr>
      <t xml:space="preserve"> </t>
    </r>
    <r>
      <rPr>
        <sz val="11"/>
        <rFont val="游ゴシック"/>
        <family val="3"/>
        <charset val="128"/>
      </rPr>
      <t>アッテネータ</t>
    </r>
  </si>
  <si>
    <r>
      <t>50</t>
    </r>
    <r>
      <rPr>
        <sz val="11"/>
        <rFont val="ＭＳ Ｐゴシック"/>
        <family val="2"/>
        <charset val="161"/>
      </rPr>
      <t>Ω</t>
    </r>
    <r>
      <rPr>
        <sz val="11"/>
        <rFont val="ＭＳ Ｐゴシック"/>
        <family val="2"/>
        <charset val="128"/>
      </rPr>
      <t xml:space="preserve"> </t>
    </r>
    <r>
      <rPr>
        <sz val="11"/>
        <rFont val="游ゴシック"/>
        <family val="3"/>
        <charset val="128"/>
      </rPr>
      <t>終端抵抗</t>
    </r>
    <phoneticPr fontId="18"/>
  </si>
  <si>
    <r>
      <rPr>
        <sz val="11"/>
        <rFont val="游ゴシック"/>
        <family val="3"/>
        <charset val="128"/>
      </rPr>
      <t>デジタルマルチメータ</t>
    </r>
  </si>
  <si>
    <r>
      <rPr>
        <sz val="11"/>
        <rFont val="游ゴシック"/>
        <family val="3"/>
        <charset val="128"/>
      </rPr>
      <t>抵抗計ミリオームハイテスタ</t>
    </r>
    <phoneticPr fontId="18"/>
  </si>
  <si>
    <r>
      <rPr>
        <sz val="11"/>
        <rFont val="游ゴシック"/>
        <family val="3"/>
        <charset val="128"/>
      </rPr>
      <t>協立電子工業</t>
    </r>
  </si>
  <si>
    <r>
      <rPr>
        <sz val="11"/>
        <rFont val="游ゴシック"/>
        <family val="3"/>
        <charset val="128"/>
      </rPr>
      <t>潤工社</t>
    </r>
  </si>
  <si>
    <r>
      <t>J-NP-AR</t>
    </r>
    <r>
      <rPr>
        <sz val="11"/>
        <rFont val="游ゴシック"/>
        <family val="3"/>
        <charset val="128"/>
      </rPr>
      <t>型</t>
    </r>
    <phoneticPr fontId="18"/>
  </si>
  <si>
    <r>
      <t>104_6F_</t>
    </r>
    <r>
      <rPr>
        <sz val="11"/>
        <rFont val="ＭＳ Ｐゴシック"/>
        <family val="2"/>
        <charset val="128"/>
      </rPr>
      <t>北暗室</t>
    </r>
    <r>
      <rPr>
        <sz val="11"/>
        <rFont val="Arial"/>
        <family val="2"/>
      </rPr>
      <t>14</t>
    </r>
    <phoneticPr fontId="2"/>
  </si>
  <si>
    <t>ESW8</t>
    <phoneticPr fontId="19"/>
  </si>
  <si>
    <t>SXZS5051</t>
    <phoneticPr fontId="18"/>
  </si>
  <si>
    <t>N9020A</t>
    <phoneticPr fontId="19"/>
  </si>
  <si>
    <t>S SA1442</t>
    <phoneticPr fontId="18"/>
  </si>
  <si>
    <t>MWX322/B</t>
    <phoneticPr fontId="19"/>
  </si>
  <si>
    <t>2410G002</t>
    <phoneticPr fontId="18"/>
  </si>
  <si>
    <t>SR505-2-1</t>
    <phoneticPr fontId="19"/>
  </si>
  <si>
    <t>KIKUSUI</t>
  </si>
  <si>
    <t>PAN35-30A</t>
  </si>
  <si>
    <t>-</t>
    <phoneticPr fontId="19"/>
  </si>
  <si>
    <t>-</t>
  </si>
  <si>
    <t>SR05-3-1</t>
    <phoneticPr fontId="19"/>
  </si>
  <si>
    <t>SR05-10-1</t>
    <phoneticPr fontId="19"/>
  </si>
  <si>
    <t>SONOMA INSTRUMENT</t>
    <phoneticPr fontId="19"/>
  </si>
  <si>
    <t>ZXZZ6662</t>
    <phoneticPr fontId="18"/>
  </si>
  <si>
    <t>KEYSIGHT</t>
    <phoneticPr fontId="19"/>
  </si>
  <si>
    <t>8495B</t>
    <phoneticPr fontId="19"/>
  </si>
  <si>
    <t>B-1</t>
    <phoneticPr fontId="19"/>
  </si>
  <si>
    <r>
      <t>RF</t>
    </r>
    <r>
      <rPr>
        <sz val="11"/>
        <color rgb="FF323232"/>
        <rFont val="游ゴシック"/>
        <family val="3"/>
        <charset val="128"/>
      </rPr>
      <t>セレクタ</t>
    </r>
    <phoneticPr fontId="18"/>
  </si>
  <si>
    <t>Micro Wave Factory</t>
    <phoneticPr fontId="19"/>
  </si>
  <si>
    <t>MRM-S4DT</t>
    <phoneticPr fontId="19"/>
  </si>
  <si>
    <t>A-1</t>
    <phoneticPr fontId="19"/>
  </si>
  <si>
    <t>LISN</t>
    <phoneticPr fontId="19"/>
  </si>
  <si>
    <t>SCHWARZBECK</t>
    <phoneticPr fontId="19"/>
  </si>
  <si>
    <t>NNBM8124</t>
    <phoneticPr fontId="19"/>
  </si>
  <si>
    <t>ZXZZ6700</t>
    <phoneticPr fontId="18"/>
  </si>
  <si>
    <t>ZXZZ6699</t>
    <phoneticPr fontId="18"/>
  </si>
  <si>
    <t>HIOKI</t>
    <phoneticPr fontId="19"/>
  </si>
  <si>
    <t>DT4261</t>
    <phoneticPr fontId="19"/>
  </si>
  <si>
    <t>KIKUSUI</t>
    <phoneticPr fontId="19"/>
  </si>
  <si>
    <t>PAN35-30A</t>
    <phoneticPr fontId="19"/>
  </si>
  <si>
    <t>BT003466</t>
    <phoneticPr fontId="19"/>
  </si>
  <si>
    <t>YOKOGAWA</t>
    <phoneticPr fontId="19"/>
  </si>
  <si>
    <t>DLM3024</t>
    <phoneticPr fontId="19"/>
  </si>
  <si>
    <t>SDSY4829</t>
    <phoneticPr fontId="18"/>
  </si>
  <si>
    <t>HUBER+SUHNER</t>
    <phoneticPr fontId="19"/>
  </si>
  <si>
    <t>6506.01.A</t>
    <phoneticPr fontId="18"/>
  </si>
  <si>
    <t>91550-1</t>
    <phoneticPr fontId="19"/>
  </si>
  <si>
    <t>94111-1</t>
    <phoneticPr fontId="19"/>
  </si>
  <si>
    <t>Noiseken</t>
    <phoneticPr fontId="19"/>
  </si>
  <si>
    <t>LR5001</t>
    <phoneticPr fontId="19"/>
  </si>
  <si>
    <r>
      <rPr>
        <sz val="11"/>
        <rFont val="游ゴシック"/>
        <family val="2"/>
      </rPr>
      <t>シールドルーム</t>
    </r>
    <r>
      <rPr>
        <sz val="11"/>
        <rFont val="ＭＳ Ｐゴシック"/>
        <family val="2"/>
        <charset val="128"/>
      </rPr>
      <t>5</t>
    </r>
    <phoneticPr fontId="19"/>
  </si>
  <si>
    <r>
      <rPr>
        <sz val="11"/>
        <rFont val="游ゴシック"/>
        <family val="2"/>
      </rPr>
      <t>スペクトラムアナライザ</t>
    </r>
    <phoneticPr fontId="19"/>
  </si>
  <si>
    <r>
      <rPr>
        <sz val="11"/>
        <rFont val="游ゴシック"/>
        <family val="2"/>
      </rPr>
      <t>暗室内同軸ケーブル</t>
    </r>
    <r>
      <rPr>
        <sz val="11"/>
        <rFont val="ＭＳ Ｐゴシック"/>
        <family val="2"/>
        <charset val="128"/>
      </rPr>
      <t xml:space="preserve"> (3m)</t>
    </r>
    <rPh sb="0" eb="3">
      <t>アンシツナイ</t>
    </rPh>
    <rPh sb="3" eb="5">
      <t>ドウジク</t>
    </rPh>
    <phoneticPr fontId="19"/>
  </si>
  <si>
    <r>
      <rPr>
        <sz val="11"/>
        <rFont val="游ゴシック"/>
        <family val="2"/>
      </rPr>
      <t>同軸ケーブル</t>
    </r>
    <r>
      <rPr>
        <sz val="11"/>
        <rFont val="ＭＳ Ｐゴシック"/>
        <family val="2"/>
        <charset val="128"/>
      </rPr>
      <t xml:space="preserve"> (2m)</t>
    </r>
    <rPh sb="0" eb="2">
      <t>ドウジク</t>
    </rPh>
    <phoneticPr fontId="19"/>
  </si>
  <si>
    <r>
      <rPr>
        <sz val="11"/>
        <rFont val="游ゴシック"/>
        <family val="2"/>
      </rPr>
      <t>直流安定化電源</t>
    </r>
    <phoneticPr fontId="18"/>
  </si>
  <si>
    <r>
      <rPr>
        <sz val="11"/>
        <rFont val="游ゴシック"/>
        <family val="2"/>
      </rPr>
      <t>同軸ケーブル</t>
    </r>
    <r>
      <rPr>
        <sz val="11"/>
        <rFont val="ＭＳ Ｐゴシック"/>
        <family val="2"/>
        <charset val="128"/>
      </rPr>
      <t xml:space="preserve"> (1m)</t>
    </r>
    <rPh sb="0" eb="2">
      <t>ドウジク</t>
    </rPh>
    <phoneticPr fontId="19"/>
  </si>
  <si>
    <r>
      <rPr>
        <sz val="11"/>
        <rFont val="游ゴシック"/>
        <family val="2"/>
      </rPr>
      <t>アッテネータ</t>
    </r>
    <phoneticPr fontId="19"/>
  </si>
  <si>
    <r>
      <rPr>
        <sz val="11"/>
        <rFont val="游ゴシック"/>
        <family val="2"/>
      </rPr>
      <t>デジタルマルチメータ</t>
    </r>
    <phoneticPr fontId="19"/>
  </si>
  <si>
    <r>
      <rPr>
        <sz val="11"/>
        <rFont val="游ゴシック"/>
        <family val="2"/>
      </rPr>
      <t>定電圧電源</t>
    </r>
    <rPh sb="0" eb="5">
      <t>テイデンアツデンゲン</t>
    </rPh>
    <phoneticPr fontId="19"/>
  </si>
  <si>
    <r>
      <rPr>
        <sz val="11"/>
        <rFont val="游ゴシック"/>
        <family val="2"/>
      </rPr>
      <t>デジタルオシロスコープ</t>
    </r>
    <phoneticPr fontId="19"/>
  </si>
  <si>
    <r>
      <rPr>
        <sz val="11"/>
        <rFont val="游ゴシック"/>
        <family val="2"/>
      </rPr>
      <t>電流プローブ</t>
    </r>
    <r>
      <rPr>
        <sz val="11"/>
        <rFont val="ＭＳ Ｐゴシック"/>
        <family val="2"/>
        <charset val="128"/>
      </rPr>
      <t>[ 91550-1 ]</t>
    </r>
    <rPh sb="0" eb="2">
      <t>デンリュウ</t>
    </rPh>
    <phoneticPr fontId="18"/>
  </si>
  <si>
    <r>
      <rPr>
        <sz val="11"/>
        <rFont val="游ゴシック"/>
        <family val="2"/>
      </rPr>
      <t>電圧プローブ</t>
    </r>
    <rPh sb="0" eb="2">
      <t>デンアツ</t>
    </rPh>
    <phoneticPr fontId="19"/>
  </si>
  <si>
    <r>
      <rPr>
        <sz val="11"/>
        <rFont val="游ゴシック"/>
        <family val="2"/>
      </rPr>
      <t>潤工社</t>
    </r>
    <rPh sb="0" eb="1">
      <t>ジュン</t>
    </rPh>
    <phoneticPr fontId="19"/>
  </si>
  <si>
    <r>
      <t>J-NP-AR</t>
    </r>
    <r>
      <rPr>
        <sz val="11"/>
        <rFont val="游ゴシック"/>
        <family val="2"/>
      </rPr>
      <t>型</t>
    </r>
    <phoneticPr fontId="19"/>
  </si>
  <si>
    <r>
      <t>2026</t>
    </r>
    <r>
      <rPr>
        <sz val="11"/>
        <rFont val="游ゴシック"/>
        <family val="2"/>
      </rPr>
      <t>年</t>
    </r>
    <r>
      <rPr>
        <sz val="11"/>
        <rFont val="ＭＳ Ｐゴシック"/>
        <family val="2"/>
        <charset val="128"/>
      </rPr>
      <t>10</t>
    </r>
    <r>
      <rPr>
        <sz val="11"/>
        <rFont val="游ゴシック"/>
        <family val="2"/>
      </rPr>
      <t>月</t>
    </r>
    <r>
      <rPr>
        <sz val="11"/>
        <rFont val="ＭＳ Ｐゴシック"/>
        <family val="2"/>
        <charset val="128"/>
      </rPr>
      <t>31</t>
    </r>
    <r>
      <rPr>
        <sz val="11"/>
        <rFont val="游ゴシック"/>
        <family val="2"/>
      </rPr>
      <t xml:space="preserve">日							</t>
    </r>
    <phoneticPr fontId="18"/>
  </si>
  <si>
    <r>
      <rPr>
        <sz val="11"/>
        <rFont val="游ゴシック"/>
        <family val="2"/>
      </rPr>
      <t>機能点検</t>
    </r>
    <rPh sb="0" eb="4">
      <t>キノウテンケン</t>
    </rPh>
    <phoneticPr fontId="18"/>
  </si>
  <si>
    <r>
      <t>ROHDE</t>
    </r>
    <r>
      <rPr>
        <sz val="11"/>
        <rFont val="游ゴシック"/>
        <family val="2"/>
      </rPr>
      <t>＆</t>
    </r>
    <r>
      <rPr>
        <sz val="11"/>
        <rFont val="Arial"/>
        <family val="2"/>
      </rPr>
      <t>SCHWARZ</t>
    </r>
    <phoneticPr fontId="19"/>
  </si>
  <si>
    <r>
      <t>101_6F_</t>
    </r>
    <r>
      <rPr>
        <sz val="11"/>
        <rFont val="ＭＳ Ｐゴシック"/>
        <family val="2"/>
        <charset val="128"/>
      </rPr>
      <t>南</t>
    </r>
    <r>
      <rPr>
        <sz val="11"/>
        <rFont val="Arial"/>
        <family val="2"/>
      </rPr>
      <t>SR5</t>
    </r>
    <phoneticPr fontId="2"/>
  </si>
  <si>
    <r>
      <rPr>
        <sz val="11"/>
        <color rgb="FF323232"/>
        <rFont val="游ゴシック"/>
        <family val="3"/>
        <charset val="128"/>
      </rPr>
      <t>シールドルーム</t>
    </r>
    <r>
      <rPr>
        <sz val="11"/>
        <color rgb="FF323232"/>
        <rFont val="Arial"/>
        <family val="2"/>
      </rPr>
      <t>12</t>
    </r>
    <phoneticPr fontId="18"/>
  </si>
  <si>
    <r>
      <t>J-NP-AR</t>
    </r>
    <r>
      <rPr>
        <sz val="11"/>
        <color rgb="FF323232"/>
        <rFont val="游ゴシック"/>
        <family val="3"/>
        <charset val="128"/>
      </rPr>
      <t>型</t>
    </r>
  </si>
  <si>
    <r>
      <t>2026</t>
    </r>
    <r>
      <rPr>
        <sz val="11"/>
        <color rgb="FF000000"/>
        <rFont val="游ゴシック"/>
        <family val="3"/>
        <charset val="128"/>
      </rPr>
      <t>年</t>
    </r>
    <r>
      <rPr>
        <sz val="11"/>
        <color rgb="FF000000"/>
        <rFont val="Arial"/>
        <family val="2"/>
      </rPr>
      <t>10</t>
    </r>
    <r>
      <rPr>
        <sz val="11"/>
        <color rgb="FF000000"/>
        <rFont val="游ゴシック"/>
        <family val="3"/>
        <charset val="128"/>
      </rPr>
      <t>月</t>
    </r>
    <r>
      <rPr>
        <sz val="11"/>
        <color rgb="FF000000"/>
        <rFont val="Arial"/>
        <family val="2"/>
      </rPr>
      <t>31</t>
    </r>
    <r>
      <rPr>
        <sz val="11"/>
        <color rgb="FF000000"/>
        <rFont val="游ゴシック"/>
        <family val="3"/>
        <charset val="128"/>
      </rPr>
      <t xml:space="preserve">日							</t>
    </r>
    <phoneticPr fontId="18"/>
  </si>
  <si>
    <t>SXZS4923</t>
    <phoneticPr fontId="18"/>
  </si>
  <si>
    <r>
      <rPr>
        <sz val="11"/>
        <color rgb="FF323232"/>
        <rFont val="游ゴシック"/>
        <family val="3"/>
        <charset val="128"/>
      </rPr>
      <t>スペクトラムアナライザ</t>
    </r>
  </si>
  <si>
    <t>Agilent Technologies</t>
  </si>
  <si>
    <t>N9020A</t>
  </si>
  <si>
    <t>S SA1438</t>
    <phoneticPr fontId="18"/>
  </si>
  <si>
    <t>ZXZZ6661</t>
    <phoneticPr fontId="18"/>
  </si>
  <si>
    <t>SONOMA</t>
  </si>
  <si>
    <t>(ZXZZ6661)</t>
  </si>
  <si>
    <r>
      <rPr>
        <sz val="11"/>
        <color rgb="FF323232"/>
        <rFont val="游ゴシック"/>
        <family val="3"/>
        <charset val="128"/>
      </rPr>
      <t>暗室内同軸ケーブル（</t>
    </r>
    <r>
      <rPr>
        <sz val="11"/>
        <color rgb="FF323232"/>
        <rFont val="Arial"/>
        <family val="2"/>
      </rPr>
      <t>3m</t>
    </r>
    <r>
      <rPr>
        <sz val="11"/>
        <color rgb="FF323232"/>
        <rFont val="游ゴシック"/>
        <family val="3"/>
        <charset val="128"/>
      </rPr>
      <t>）</t>
    </r>
    <rPh sb="0" eb="3">
      <t>アンシツナイ</t>
    </rPh>
    <phoneticPr fontId="18"/>
  </si>
  <si>
    <r>
      <rPr>
        <sz val="11"/>
        <color rgb="FF000000"/>
        <rFont val="游ゴシック"/>
        <family val="3"/>
        <charset val="128"/>
      </rPr>
      <t>潤工社</t>
    </r>
  </si>
  <si>
    <t xml:space="preserve">MWX322 </t>
  </si>
  <si>
    <t>2206G013</t>
    <phoneticPr fontId="18"/>
  </si>
  <si>
    <r>
      <rPr>
        <sz val="11"/>
        <color rgb="FF323232"/>
        <rFont val="游ゴシック"/>
        <family val="3"/>
        <charset val="128"/>
      </rPr>
      <t>同軸ケーブル（</t>
    </r>
    <r>
      <rPr>
        <sz val="11"/>
        <color rgb="FF323232"/>
        <rFont val="Arial"/>
        <family val="2"/>
      </rPr>
      <t>2m</t>
    </r>
    <r>
      <rPr>
        <sz val="11"/>
        <color rgb="FF323232"/>
        <rFont val="游ゴシック"/>
        <family val="3"/>
        <charset val="128"/>
      </rPr>
      <t>）</t>
    </r>
    <phoneticPr fontId="18"/>
  </si>
  <si>
    <r>
      <rPr>
        <sz val="11"/>
        <color rgb="FF323232"/>
        <rFont val="游ゴシック"/>
        <family val="3"/>
        <charset val="128"/>
      </rPr>
      <t>同軸ケーブル（</t>
    </r>
    <r>
      <rPr>
        <sz val="11"/>
        <color rgb="FF323232"/>
        <rFont val="Arial"/>
        <family val="2"/>
      </rPr>
      <t>1m</t>
    </r>
    <r>
      <rPr>
        <sz val="11"/>
        <color rgb="FF323232"/>
        <rFont val="游ゴシック"/>
        <family val="3"/>
        <charset val="128"/>
      </rPr>
      <t>）</t>
    </r>
    <phoneticPr fontId="18"/>
  </si>
  <si>
    <r>
      <rPr>
        <sz val="11"/>
        <color rgb="FF323232"/>
        <rFont val="游ゴシック"/>
        <family val="3"/>
        <charset val="128"/>
      </rPr>
      <t>同軸ケーブル（</t>
    </r>
    <r>
      <rPr>
        <sz val="11"/>
        <color rgb="FF323232"/>
        <rFont val="Arial"/>
        <family val="2"/>
      </rPr>
      <t>0.5m</t>
    </r>
    <r>
      <rPr>
        <sz val="11"/>
        <color rgb="FF323232"/>
        <rFont val="游ゴシック"/>
        <family val="3"/>
        <charset val="128"/>
      </rPr>
      <t>）</t>
    </r>
    <phoneticPr fontId="18"/>
  </si>
  <si>
    <r>
      <rPr>
        <sz val="11"/>
        <color rgb="FF323232"/>
        <rFont val="游ゴシック"/>
        <family val="3"/>
        <charset val="128"/>
      </rPr>
      <t>同軸ケーブル（</t>
    </r>
    <r>
      <rPr>
        <sz val="11"/>
        <color rgb="FF323232"/>
        <rFont val="Arial"/>
        <family val="2"/>
      </rPr>
      <t>0.35m</t>
    </r>
    <r>
      <rPr>
        <sz val="11"/>
        <color rgb="FF323232"/>
        <rFont val="游ゴシック"/>
        <family val="3"/>
        <charset val="128"/>
      </rPr>
      <t>）</t>
    </r>
    <phoneticPr fontId="18"/>
  </si>
  <si>
    <r>
      <rPr>
        <sz val="11"/>
        <color rgb="FF323232"/>
        <rFont val="游ゴシック"/>
        <family val="3"/>
        <charset val="128"/>
      </rPr>
      <t>同軸ケーブル（</t>
    </r>
    <r>
      <rPr>
        <sz val="11"/>
        <color rgb="FF323232"/>
        <rFont val="Arial"/>
        <family val="2"/>
      </rPr>
      <t>0.1m</t>
    </r>
    <r>
      <rPr>
        <sz val="11"/>
        <color rgb="FF323232"/>
        <rFont val="游ゴシック"/>
        <family val="3"/>
        <charset val="128"/>
      </rPr>
      <t>）</t>
    </r>
    <phoneticPr fontId="18"/>
  </si>
  <si>
    <r>
      <rPr>
        <sz val="11"/>
        <color rgb="FF000000"/>
        <rFont val="游ゴシック"/>
        <family val="3"/>
        <charset val="128"/>
      </rPr>
      <t>同軸ケーブル</t>
    </r>
    <r>
      <rPr>
        <sz val="11"/>
        <color rgb="FF000000"/>
        <rFont val="Arial"/>
        <family val="2"/>
      </rPr>
      <t>(BNC-BNC_5m)</t>
    </r>
  </si>
  <si>
    <t>JOIN</t>
  </si>
  <si>
    <t>JB-1-3D-2V</t>
  </si>
  <si>
    <r>
      <rPr>
        <sz val="11"/>
        <color rgb="FF000000"/>
        <rFont val="游ゴシック"/>
        <family val="3"/>
        <charset val="128"/>
      </rPr>
      <t>同軸ケーブル</t>
    </r>
    <r>
      <rPr>
        <sz val="11"/>
        <color rgb="FF000000"/>
        <rFont val="Arial"/>
        <family val="2"/>
      </rPr>
      <t>(BNC-BNC_2m)</t>
    </r>
  </si>
  <si>
    <r>
      <rPr>
        <sz val="11"/>
        <color rgb="FF000000"/>
        <rFont val="游ゴシック"/>
        <family val="3"/>
        <charset val="128"/>
      </rPr>
      <t>同軸ケーブル</t>
    </r>
    <r>
      <rPr>
        <sz val="11"/>
        <color rgb="FF000000"/>
        <rFont val="Arial"/>
        <family val="2"/>
      </rPr>
      <t>(</t>
    </r>
    <r>
      <rPr>
        <sz val="11"/>
        <color rgb="FF000000"/>
        <rFont val="游ゴシック"/>
        <family val="3"/>
        <charset val="128"/>
      </rPr>
      <t>ワニ口</t>
    </r>
    <r>
      <rPr>
        <sz val="11"/>
        <color rgb="FF000000"/>
        <rFont val="Arial"/>
        <family val="2"/>
      </rPr>
      <t>-BNC_0.5m)</t>
    </r>
  </si>
  <si>
    <t>JB-15-3D-2V</t>
  </si>
  <si>
    <t>00051816</t>
    <phoneticPr fontId="18"/>
  </si>
  <si>
    <t>00050900</t>
    <phoneticPr fontId="18"/>
  </si>
  <si>
    <r>
      <rPr>
        <sz val="11"/>
        <color rgb="FF323232"/>
        <rFont val="游ゴシック"/>
        <family val="3"/>
        <charset val="128"/>
      </rPr>
      <t>電圧プローブ</t>
    </r>
    <phoneticPr fontId="18"/>
  </si>
  <si>
    <t>01-00061B</t>
  </si>
  <si>
    <r>
      <rPr>
        <sz val="11"/>
        <color rgb="FF323232"/>
        <rFont val="游ゴシック"/>
        <family val="3"/>
        <charset val="128"/>
      </rPr>
      <t>ステップアッテネータ</t>
    </r>
    <phoneticPr fontId="18"/>
  </si>
  <si>
    <t>ZXZZ6701</t>
    <phoneticPr fontId="18"/>
  </si>
  <si>
    <t>ZXZZ6702</t>
    <phoneticPr fontId="18"/>
  </si>
  <si>
    <t>BIRD</t>
  </si>
  <si>
    <t>5-T-MN</t>
  </si>
  <si>
    <t>DT4261</t>
  </si>
  <si>
    <r>
      <rPr>
        <sz val="11"/>
        <rFont val="游ゴシック"/>
        <family val="3"/>
        <charset val="128"/>
      </rPr>
      <t>スペクトラムアナライザ</t>
    </r>
  </si>
  <si>
    <r>
      <rPr>
        <sz val="11"/>
        <rFont val="游ゴシック"/>
        <family val="3"/>
        <charset val="128"/>
      </rPr>
      <t>電圧プローブ</t>
    </r>
    <phoneticPr fontId="18"/>
  </si>
  <si>
    <r>
      <t>J-NP-AR</t>
    </r>
    <r>
      <rPr>
        <sz val="11"/>
        <rFont val="游ゴシック"/>
        <family val="3"/>
        <charset val="128"/>
      </rPr>
      <t>型</t>
    </r>
  </si>
  <si>
    <r>
      <t>104_6F_</t>
    </r>
    <r>
      <rPr>
        <sz val="11"/>
        <rFont val="ＭＳ Ｐゴシック"/>
        <family val="2"/>
        <charset val="128"/>
      </rPr>
      <t>北</t>
    </r>
    <r>
      <rPr>
        <sz val="11"/>
        <rFont val="Arial"/>
        <family val="2"/>
      </rPr>
      <t>SR12</t>
    </r>
    <phoneticPr fontId="2"/>
  </si>
  <si>
    <t>2410G001</t>
    <phoneticPr fontId="18"/>
  </si>
  <si>
    <t>2410G003</t>
    <phoneticPr fontId="18"/>
  </si>
  <si>
    <t>2410G004</t>
    <phoneticPr fontId="18"/>
  </si>
  <si>
    <t>ZXZZ6698</t>
    <phoneticPr fontId="18"/>
  </si>
  <si>
    <r>
      <rPr>
        <sz val="11"/>
        <rFont val="游ゴシック"/>
        <family val="3"/>
        <charset val="128"/>
      </rPr>
      <t>シールドルーム</t>
    </r>
    <r>
      <rPr>
        <sz val="11"/>
        <rFont val="ＭＳ Ｐゴシック"/>
        <family val="2"/>
        <charset val="128"/>
      </rPr>
      <t>21</t>
    </r>
    <phoneticPr fontId="18"/>
  </si>
  <si>
    <r>
      <rPr>
        <sz val="11"/>
        <rFont val="游ゴシック"/>
        <family val="3"/>
        <charset val="128"/>
      </rPr>
      <t>同軸ケーブル（</t>
    </r>
    <r>
      <rPr>
        <sz val="11"/>
        <rFont val="ＭＳ Ｐゴシック"/>
        <family val="2"/>
        <charset val="128"/>
      </rPr>
      <t>3m</t>
    </r>
    <r>
      <rPr>
        <sz val="11"/>
        <rFont val="游ゴシック"/>
        <family val="3"/>
        <charset val="128"/>
      </rPr>
      <t>）</t>
    </r>
  </si>
  <si>
    <r>
      <rPr>
        <sz val="11"/>
        <rFont val="游ゴシック"/>
        <family val="3"/>
        <charset val="128"/>
      </rPr>
      <t>同軸ケーブル（</t>
    </r>
    <r>
      <rPr>
        <sz val="11"/>
        <rFont val="ＭＳ Ｐゴシック"/>
        <family val="2"/>
        <charset val="128"/>
      </rPr>
      <t>7m</t>
    </r>
    <r>
      <rPr>
        <sz val="11"/>
        <rFont val="游ゴシック"/>
        <family val="3"/>
        <charset val="128"/>
      </rPr>
      <t>）</t>
    </r>
  </si>
  <si>
    <r>
      <t>101_3F_</t>
    </r>
    <r>
      <rPr>
        <sz val="11"/>
        <rFont val="ＭＳ Ｐゴシック"/>
        <family val="2"/>
        <charset val="128"/>
      </rPr>
      <t>北</t>
    </r>
    <r>
      <rPr>
        <sz val="11"/>
        <rFont val="Arial"/>
        <family val="2"/>
      </rPr>
      <t>SR21</t>
    </r>
    <phoneticPr fontId="2"/>
  </si>
  <si>
    <r>
      <rPr>
        <sz val="11"/>
        <color theme="0"/>
        <rFont val="游ゴシック"/>
        <family val="2"/>
      </rPr>
      <t>名称</t>
    </r>
    <rPh sb="0" eb="2">
      <t>メイショウ</t>
    </rPh>
    <phoneticPr fontId="18"/>
  </si>
  <si>
    <r>
      <rPr>
        <sz val="11"/>
        <color theme="0"/>
        <rFont val="游ゴシック"/>
        <family val="2"/>
      </rPr>
      <t>メーカ</t>
    </r>
    <phoneticPr fontId="18"/>
  </si>
  <si>
    <r>
      <rPr>
        <sz val="11"/>
        <color theme="0"/>
        <rFont val="游ゴシック"/>
        <family val="2"/>
      </rPr>
      <t>型式</t>
    </r>
    <rPh sb="0" eb="2">
      <t>カタシキ</t>
    </rPh>
    <phoneticPr fontId="18"/>
  </si>
  <si>
    <r>
      <rPr>
        <sz val="11"/>
        <color theme="0"/>
        <rFont val="游ゴシック"/>
        <family val="2"/>
      </rPr>
      <t>全社連番</t>
    </r>
    <rPh sb="0" eb="4">
      <t>ゼンシャレンバン</t>
    </rPh>
    <phoneticPr fontId="18"/>
  </si>
  <si>
    <r>
      <rPr>
        <sz val="11"/>
        <color theme="0"/>
        <rFont val="游ゴシック"/>
        <family val="2"/>
      </rPr>
      <t>管理</t>
    </r>
    <r>
      <rPr>
        <sz val="11"/>
        <color theme="0"/>
        <rFont val="Arial"/>
        <family val="2"/>
      </rPr>
      <t>No.</t>
    </r>
    <rPh sb="0" eb="2">
      <t>カンリ</t>
    </rPh>
    <phoneticPr fontId="18"/>
  </si>
  <si>
    <r>
      <rPr>
        <sz val="11"/>
        <color theme="0"/>
        <rFont val="游ゴシック"/>
        <family val="2"/>
      </rPr>
      <t>管理部署</t>
    </r>
    <rPh sb="0" eb="4">
      <t>カンリブショ</t>
    </rPh>
    <phoneticPr fontId="18"/>
  </si>
  <si>
    <r>
      <rPr>
        <sz val="11"/>
        <color theme="0"/>
        <rFont val="游ゴシック"/>
        <family val="2"/>
      </rPr>
      <t>有効期限</t>
    </r>
    <rPh sb="0" eb="4">
      <t>ユウコウキゲン</t>
    </rPh>
    <phoneticPr fontId="18"/>
  </si>
  <si>
    <t>&lt;環境/ 部屋&gt;</t>
    <rPh sb="1" eb="3">
      <t>カンキョウ</t>
    </rPh>
    <rPh sb="5" eb="7">
      <t>ヘヤ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</si>
</sst>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F800]dddd\,\ mmmm\ dd\,\ yyyy"/>
    <numFmt numFmtId="177" formatCode="yyyy/mm"/>
    <numFmt numFmtId="178" formatCode="0_ "/>
    <numFmt numFmtId="179" formatCode="yyyy&quot;年&quot;m&quot;月&quot;;@"/>
    <numFmt numFmtId="180" formatCode="0_);[Red]\(0\)"/>
  </numFmts>
  <fonts count="32">
    <font>
      <sz val="11"/>
      <name val="ＭＳ Ｐゴシック"/>
      <family val="3"/>
      <charset val="128"/>
    </font>
    <font>
      <sz val="11"/>
      <name val="ＭＳ Ｐゴシック"/>
      <family val="3"/>
      <charset val="128"/>
    </font>
    <font>
      <sz val="6"/>
      <name val="ＭＳ Ｐゴシック"/>
      <family val="3"/>
      <charset val="128"/>
    </font>
    <font>
      <sz val="8"/>
      <name val="ＭＳ Ｐゴシック"/>
      <family val="3"/>
      <charset val="128"/>
    </font>
    <font>
      <b/>
      <sz val="14"/>
      <name val="ＭＳ Ｐゴシック"/>
      <family val="3"/>
      <charset val="128"/>
    </font>
    <font>
      <u/>
      <sz val="11"/>
      <name val="ＭＳ Ｐゴシック"/>
      <family val="3"/>
      <charset val="128"/>
    </font>
    <font>
      <sz val="10"/>
      <name val="ＭＳ Ｐゴシック"/>
      <family val="3"/>
      <charset val="128"/>
    </font>
    <font>
      <b/>
      <sz val="10"/>
      <name val="ＭＳ Ｐゴシック"/>
      <family val="3"/>
      <charset val="128"/>
    </font>
    <font>
      <sz val="9"/>
      <name val="ＭＳ Ｐゴシック"/>
      <family val="3"/>
      <charset val="128"/>
    </font>
    <font>
      <sz val="11"/>
      <name val="ＨＧ丸ゴシックM"/>
      <family val="3"/>
      <charset val="128"/>
    </font>
    <font>
      <b/>
      <u/>
      <sz val="14"/>
      <name val="ＭＳ Ｐゴシック"/>
      <family val="3"/>
      <charset val="128"/>
    </font>
    <font>
      <sz val="10"/>
      <color indexed="8"/>
      <name val="ＭＳ Ｐゴシック"/>
      <family val="3"/>
      <charset val="128"/>
    </font>
    <font>
      <sz val="12"/>
      <name val="ＭＳ Ｐゴシック"/>
      <family val="3"/>
      <charset val="128"/>
    </font>
    <font>
      <sz val="8"/>
      <color rgb="FF000000"/>
      <name val="ＭＳ Ｐゴシック"/>
      <family val="3"/>
      <charset val="128"/>
    </font>
    <font>
      <sz val="8"/>
      <name val="Segoe UI"/>
      <family val="2"/>
    </font>
    <font>
      <sz val="11"/>
      <color theme="1"/>
      <name val="ＭＳ Ｐゴシック"/>
      <family val="2"/>
      <charset val="128"/>
    </font>
    <font>
      <sz val="11"/>
      <color theme="1"/>
      <name val="Arial"/>
      <family val="2"/>
    </font>
    <font>
      <sz val="11"/>
      <color theme="1"/>
      <name val="游ゴシック"/>
      <family val="2"/>
    </font>
    <font>
      <sz val="6"/>
      <name val="游ゴシック"/>
      <family val="3"/>
      <charset val="128"/>
      <scheme val="minor"/>
    </font>
    <font>
      <sz val="6"/>
      <name val="游ゴシック"/>
      <family val="2"/>
      <charset val="128"/>
      <scheme val="minor"/>
    </font>
    <font>
      <sz val="11"/>
      <color rgb="FF323232"/>
      <name val="Arial"/>
      <family val="2"/>
    </font>
    <font>
      <sz val="11"/>
      <color rgb="FF323232"/>
      <name val="游ゴシック"/>
      <family val="3"/>
      <charset val="128"/>
    </font>
    <font>
      <sz val="11"/>
      <name val="Arial"/>
      <family val="2"/>
    </font>
    <font>
      <b/>
      <sz val="11"/>
      <color theme="1"/>
      <name val="Arial"/>
      <family val="2"/>
    </font>
    <font>
      <sz val="11"/>
      <name val="ＭＳ Ｐゴシック"/>
      <family val="2"/>
      <charset val="128"/>
    </font>
    <font>
      <sz val="11"/>
      <name val="游ゴシック"/>
      <family val="3"/>
      <charset val="128"/>
    </font>
    <font>
      <sz val="11"/>
      <name val="游ゴシック"/>
      <family val="2"/>
    </font>
    <font>
      <sz val="11"/>
      <color rgb="FF000000"/>
      <name val="Arial"/>
      <family val="2"/>
    </font>
    <font>
      <sz val="11"/>
      <name val="ＭＳ Ｐゴシック"/>
      <family val="2"/>
      <charset val="161"/>
    </font>
    <font>
      <sz val="11"/>
      <color rgb="FF000000"/>
      <name val="游ゴシック"/>
      <family val="3"/>
      <charset val="128"/>
    </font>
    <font>
      <sz val="11"/>
      <color theme="0"/>
      <name val="Arial"/>
      <family val="2"/>
    </font>
    <font>
      <sz val="11"/>
      <color theme="0"/>
      <name val="游ゴシック"/>
      <family val="2"/>
    </font>
  </fonts>
  <fills count="7">
    <fill>
      <patternFill patternType="none"/>
    </fill>
    <fill>
      <patternFill patternType="gray125"/>
    </fill>
    <fill>
      <patternFill patternType="solid">
        <fgColor rgb="FFFFFF99"/>
        <bgColor indexed="64"/>
      </patternFill>
    </fill>
    <fill>
      <patternFill patternType="solid">
        <fgColor theme="0"/>
        <bgColor indexed="64"/>
      </patternFill>
    </fill>
    <fill>
      <patternFill patternType="solid">
        <fgColor theme="0"/>
        <bgColor rgb="FF000000"/>
      </patternFill>
    </fill>
    <fill>
      <patternFill patternType="solid">
        <fgColor theme="4"/>
        <bgColor theme="4"/>
      </patternFill>
    </fill>
    <fill>
      <patternFill patternType="solid">
        <fgColor rgb="FFFFFFFF"/>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s>
  <cellStyleXfs count="6">
    <xf numFmtId="0" fontId="0" fillId="0" borderId="0">
      <alignment vertical="center"/>
    </xf>
    <xf numFmtId="0" fontId="1" fillId="0" borderId="0">
      <alignment vertical="center"/>
    </xf>
    <xf numFmtId="0" fontId="9" fillId="0" borderId="0">
      <alignment horizontal="center" vertical="center"/>
    </xf>
    <xf numFmtId="0" fontId="1" fillId="0" borderId="0" applyFont="0" applyFill="0" applyBorder="0">
      <alignment vertical="center"/>
    </xf>
    <xf numFmtId="0" fontId="1" fillId="0" borderId="0"/>
    <xf numFmtId="0" fontId="1" fillId="0" borderId="0">
      <alignment vertical="center"/>
    </xf>
  </cellStyleXfs>
  <cellXfs count="203">
    <xf numFmtId="0" fontId="0" fillId="0" borderId="0" xfId="0">
      <alignment vertical="center"/>
    </xf>
    <xf numFmtId="0" fontId="1" fillId="0" borderId="0" xfId="0" applyFont="1" applyAlignment="1">
      <alignment horizontal="centerContinuous"/>
    </xf>
    <xf numFmtId="0" fontId="1" fillId="0" borderId="0" xfId="0" applyFont="1" applyAlignment="1">
      <alignment horizontal="centerContinuous" vertical="center"/>
    </xf>
    <xf numFmtId="0" fontId="0" fillId="0" borderId="1" xfId="0" applyBorder="1">
      <alignment vertical="center"/>
    </xf>
    <xf numFmtId="0" fontId="0" fillId="0" borderId="2" xfId="0" applyBorder="1">
      <alignment vertical="center"/>
    </xf>
    <xf numFmtId="0" fontId="3" fillId="0" borderId="0" xfId="0" applyFont="1" applyAlignment="1">
      <alignment horizontal="center" vertical="center"/>
    </xf>
    <xf numFmtId="0" fontId="0" fillId="0" borderId="0" xfId="0" applyAlignment="1"/>
    <xf numFmtId="0" fontId="3" fillId="0" borderId="0" xfId="0" applyFont="1">
      <alignment vertical="center"/>
    </xf>
    <xf numFmtId="0" fontId="5" fillId="0" borderId="0" xfId="0" applyFont="1" applyAlignment="1">
      <alignment horizontal="centerContinuous"/>
    </xf>
    <xf numFmtId="0" fontId="5" fillId="0" borderId="0" xfId="0" applyFont="1" applyAlignment="1">
      <alignment horizontal="centerContinuous" vertical="center"/>
    </xf>
    <xf numFmtId="0" fontId="0" fillId="0" borderId="8" xfId="0" applyBorder="1">
      <alignment vertical="center"/>
    </xf>
    <xf numFmtId="0" fontId="0" fillId="0" borderId="9" xfId="0" applyBorder="1">
      <alignment vertical="center"/>
    </xf>
    <xf numFmtId="0" fontId="6" fillId="0" borderId="0" xfId="0" applyFont="1" applyAlignment="1">
      <alignment horizontal="centerContinuous" vertical="center"/>
    </xf>
    <xf numFmtId="0" fontId="0" fillId="0" borderId="0" xfId="0" applyAlignment="1">
      <alignment horizontal="centerContinuous" vertical="center"/>
    </xf>
    <xf numFmtId="0" fontId="6" fillId="0" borderId="0" xfId="0" applyFont="1">
      <alignment vertical="center"/>
    </xf>
    <xf numFmtId="0" fontId="6" fillId="0" borderId="8" xfId="0" applyFont="1" applyBorder="1" applyAlignment="1"/>
    <xf numFmtId="14" fontId="1" fillId="0" borderId="8" xfId="0" quotePrefix="1" applyNumberFormat="1" applyFont="1" applyBorder="1">
      <alignment vertical="center"/>
    </xf>
    <xf numFmtId="0" fontId="1" fillId="0" borderId="8" xfId="0" applyFont="1" applyBorder="1">
      <alignment vertical="center"/>
    </xf>
    <xf numFmtId="0" fontId="8" fillId="0" borderId="0" xfId="0" applyFont="1">
      <alignment vertical="center"/>
    </xf>
    <xf numFmtId="0" fontId="6" fillId="0" borderId="0" xfId="0" applyFont="1" applyAlignment="1">
      <alignment horizontal="left" vertical="center"/>
    </xf>
    <xf numFmtId="0" fontId="6" fillId="0" borderId="8" xfId="0" applyFont="1" applyBorder="1" applyAlignment="1">
      <alignment vertical="top"/>
    </xf>
    <xf numFmtId="0" fontId="3" fillId="0" borderId="0" xfId="1" applyFont="1" applyAlignment="1">
      <alignment horizontal="left" vertical="center" wrapText="1"/>
    </xf>
    <xf numFmtId="0" fontId="1" fillId="0" borderId="0" xfId="0" applyFont="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1" fillId="0" borderId="0" xfId="2" applyFont="1" applyAlignment="1">
      <alignment horizontal="centerContinuous" vertical="center"/>
    </xf>
    <xf numFmtId="177" fontId="1" fillId="0" borderId="0" xfId="2" applyNumberFormat="1" applyFont="1" applyAlignment="1">
      <alignment horizontal="centerContinuous" vertical="center"/>
    </xf>
    <xf numFmtId="0" fontId="7" fillId="0" borderId="0" xfId="0" applyFont="1" applyAlignment="1">
      <alignment vertical="center" wrapText="1"/>
    </xf>
    <xf numFmtId="0" fontId="6" fillId="0" borderId="0" xfId="0" applyFont="1" applyAlignment="1">
      <alignment vertical="center" wrapText="1"/>
    </xf>
    <xf numFmtId="0" fontId="6" fillId="2" borderId="3" xfId="3" applyFont="1" applyFill="1" applyBorder="1" applyAlignment="1">
      <alignment horizontal="centerContinuous" vertical="center"/>
    </xf>
    <xf numFmtId="0" fontId="6" fillId="2" borderId="4" xfId="3" applyFont="1" applyFill="1" applyBorder="1" applyAlignment="1">
      <alignment horizontal="centerContinuous" vertical="center"/>
    </xf>
    <xf numFmtId="0" fontId="6" fillId="2" borderId="7" xfId="3" applyFont="1" applyFill="1" applyBorder="1" applyAlignment="1">
      <alignment horizontal="centerContinuous" vertical="center"/>
    </xf>
    <xf numFmtId="0" fontId="11" fillId="2" borderId="3" xfId="2" applyFont="1" applyFill="1" applyBorder="1" applyAlignment="1">
      <alignment horizontal="centerContinuous" vertical="center"/>
    </xf>
    <xf numFmtId="0" fontId="11" fillId="2" borderId="4" xfId="2" applyFont="1" applyFill="1" applyBorder="1" applyAlignment="1">
      <alignment horizontal="centerContinuous" vertical="center"/>
    </xf>
    <xf numFmtId="0" fontId="11" fillId="2" borderId="7" xfId="2" applyFont="1" applyFill="1" applyBorder="1" applyAlignment="1">
      <alignment horizontal="centerContinuous" vertical="center"/>
    </xf>
    <xf numFmtId="0" fontId="6" fillId="2" borderId="14" xfId="1" applyFont="1" applyFill="1" applyBorder="1" applyAlignment="1">
      <alignment horizontal="centerContinuous" vertical="center"/>
    </xf>
    <xf numFmtId="0" fontId="6" fillId="2" borderId="15" xfId="1" applyFont="1" applyFill="1" applyBorder="1" applyAlignment="1">
      <alignment horizontal="centerContinuous" vertical="center"/>
    </xf>
    <xf numFmtId="0" fontId="6" fillId="2" borderId="16" xfId="1" applyFont="1" applyFill="1" applyBorder="1" applyAlignment="1">
      <alignment horizontal="centerContinuous" vertical="center"/>
    </xf>
    <xf numFmtId="0" fontId="11" fillId="2" borderId="14" xfId="2" applyFont="1" applyFill="1" applyBorder="1" applyAlignment="1">
      <alignment horizontal="centerContinuous" vertical="center"/>
    </xf>
    <xf numFmtId="0" fontId="11" fillId="2" borderId="15" xfId="2" applyFont="1" applyFill="1" applyBorder="1" applyAlignment="1">
      <alignment horizontal="centerContinuous" vertical="center"/>
    </xf>
    <xf numFmtId="0" fontId="11" fillId="2" borderId="16" xfId="2" applyFont="1" applyFill="1" applyBorder="1" applyAlignment="1">
      <alignment horizontal="centerContinuous" vertical="center"/>
    </xf>
    <xf numFmtId="0" fontId="11" fillId="2" borderId="22" xfId="2" applyFont="1" applyFill="1" applyBorder="1" applyAlignment="1">
      <alignment horizontal="centerContinuous" vertical="center"/>
    </xf>
    <xf numFmtId="0" fontId="11" fillId="2" borderId="23" xfId="2" applyFont="1" applyFill="1" applyBorder="1" applyAlignment="1">
      <alignment horizontal="centerContinuous" vertical="center"/>
    </xf>
    <xf numFmtId="0" fontId="11" fillId="2" borderId="24" xfId="2" applyFont="1" applyFill="1" applyBorder="1" applyAlignment="1">
      <alignment horizontal="centerContinuous" vertical="center"/>
    </xf>
    <xf numFmtId="0" fontId="6" fillId="0" borderId="0" xfId="1" applyFont="1">
      <alignment vertical="center"/>
    </xf>
    <xf numFmtId="0" fontId="12" fillId="0" borderId="0" xfId="5" applyFont="1">
      <alignment vertical="center"/>
    </xf>
    <xf numFmtId="0" fontId="0" fillId="0" borderId="0" xfId="0" applyAlignment="1">
      <alignment horizontal="right" vertical="center"/>
    </xf>
    <xf numFmtId="0" fontId="0" fillId="3" borderId="0" xfId="0" applyFill="1">
      <alignment vertical="center"/>
    </xf>
    <xf numFmtId="0" fontId="6" fillId="3" borderId="0" xfId="0" applyFont="1" applyFill="1" applyAlignment="1">
      <alignment vertical="center" wrapText="1"/>
    </xf>
    <xf numFmtId="0" fontId="6" fillId="3" borderId="0" xfId="1" applyFont="1" applyFill="1">
      <alignment vertical="center"/>
    </xf>
    <xf numFmtId="49" fontId="13" fillId="3" borderId="0" xfId="0" applyNumberFormat="1" applyFont="1" applyFill="1" applyAlignment="1">
      <alignment horizontal="center" vertical="center"/>
    </xf>
    <xf numFmtId="178" fontId="13" fillId="3" borderId="0" xfId="0" applyNumberFormat="1" applyFont="1" applyFill="1" applyAlignment="1">
      <alignment horizontal="center" vertical="center"/>
    </xf>
    <xf numFmtId="179" fontId="13" fillId="3" borderId="0" xfId="0" applyNumberFormat="1" applyFont="1" applyFill="1" applyAlignment="1">
      <alignment horizontal="center" vertical="center"/>
    </xf>
    <xf numFmtId="179" fontId="3" fillId="3" borderId="0" xfId="0" applyNumberFormat="1" applyFont="1" applyFill="1" applyAlignment="1">
      <alignment horizontal="center" vertical="center" wrapText="1"/>
    </xf>
    <xf numFmtId="178" fontId="3" fillId="3" borderId="0" xfId="0" applyNumberFormat="1" applyFont="1" applyFill="1" applyAlignment="1">
      <alignment horizontal="center" vertical="center" wrapText="1"/>
    </xf>
    <xf numFmtId="178" fontId="3" fillId="3" borderId="0" xfId="0" quotePrefix="1" applyNumberFormat="1" applyFont="1" applyFill="1" applyAlignment="1">
      <alignment horizontal="center" vertical="center" wrapText="1"/>
    </xf>
    <xf numFmtId="49" fontId="3" fillId="3" borderId="0" xfId="0" applyNumberFormat="1" applyFont="1" applyFill="1" applyAlignment="1">
      <alignment horizontal="center" vertical="center" wrapText="1"/>
    </xf>
    <xf numFmtId="49" fontId="3" fillId="3" borderId="0" xfId="0" quotePrefix="1" applyNumberFormat="1" applyFont="1" applyFill="1" applyAlignment="1">
      <alignment horizontal="center" vertical="center" wrapText="1"/>
    </xf>
    <xf numFmtId="179" fontId="3" fillId="3" borderId="0" xfId="0" quotePrefix="1" applyNumberFormat="1" applyFont="1" applyFill="1" applyAlignment="1">
      <alignment horizontal="center" vertical="center" wrapText="1"/>
    </xf>
    <xf numFmtId="49" fontId="3" fillId="3" borderId="0" xfId="0" applyNumberFormat="1" applyFont="1" applyFill="1" applyAlignment="1">
      <alignment horizontal="center" vertical="center"/>
    </xf>
    <xf numFmtId="0" fontId="6" fillId="3" borderId="0" xfId="3" applyFont="1" applyFill="1" applyBorder="1">
      <alignment vertical="center"/>
    </xf>
    <xf numFmtId="0" fontId="7" fillId="3" borderId="0" xfId="0" applyFont="1" applyFill="1" applyAlignment="1">
      <alignment vertical="center" wrapText="1"/>
    </xf>
    <xf numFmtId="0" fontId="14" fillId="0" borderId="0" xfId="0" applyFont="1">
      <alignment vertical="center"/>
    </xf>
    <xf numFmtId="2" fontId="12" fillId="0" borderId="19" xfId="5" applyNumberFormat="1" applyFont="1" applyBorder="1" applyAlignment="1">
      <alignment horizontal="center" vertical="center"/>
    </xf>
    <xf numFmtId="2" fontId="12" fillId="0" borderId="20" xfId="5" applyNumberFormat="1" applyFont="1" applyBorder="1" applyAlignment="1">
      <alignment horizontal="center" vertical="center"/>
    </xf>
    <xf numFmtId="2" fontId="12" fillId="0" borderId="21" xfId="5" applyNumberFormat="1" applyFont="1" applyBorder="1" applyAlignment="1">
      <alignment horizontal="center" vertical="center"/>
    </xf>
    <xf numFmtId="56" fontId="12" fillId="0" borderId="19" xfId="5" applyNumberFormat="1" applyFont="1" applyBorder="1" applyAlignment="1">
      <alignment horizontal="center" vertical="center"/>
    </xf>
    <xf numFmtId="56" fontId="12" fillId="0" borderId="20" xfId="5" applyNumberFormat="1" applyFont="1" applyBorder="1" applyAlignment="1">
      <alignment horizontal="center" vertical="center"/>
    </xf>
    <xf numFmtId="0" fontId="12" fillId="0" borderId="21" xfId="5" applyFont="1" applyBorder="1" applyAlignment="1">
      <alignment horizontal="center" vertical="center"/>
    </xf>
    <xf numFmtId="49" fontId="12" fillId="0" borderId="19" xfId="5" applyNumberFormat="1" applyFont="1" applyBorder="1" applyAlignment="1">
      <alignment horizontal="center" vertical="center" shrinkToFit="1"/>
    </xf>
    <xf numFmtId="49" fontId="12" fillId="0" borderId="20" xfId="5" applyNumberFormat="1" applyFont="1" applyBorder="1" applyAlignment="1">
      <alignment horizontal="center" vertical="center" shrinkToFit="1"/>
    </xf>
    <xf numFmtId="49" fontId="12" fillId="0" borderId="21" xfId="5" applyNumberFormat="1" applyFont="1" applyBorder="1" applyAlignment="1">
      <alignment horizontal="center" vertical="center" shrinkToFit="1"/>
    </xf>
    <xf numFmtId="0" fontId="6" fillId="0" borderId="2" xfId="0" applyFont="1" applyBorder="1" applyAlignment="1">
      <alignment vertical="center" wrapText="1"/>
    </xf>
    <xf numFmtId="0" fontId="6" fillId="0" borderId="15" xfId="0" applyFont="1" applyBorder="1" applyAlignment="1">
      <alignment vertical="center" wrapText="1"/>
    </xf>
    <xf numFmtId="0" fontId="6" fillId="0" borderId="15" xfId="0" applyFont="1" applyBorder="1">
      <alignment vertical="center"/>
    </xf>
    <xf numFmtId="0" fontId="6" fillId="0" borderId="2" xfId="0" applyFont="1" applyBorder="1">
      <alignment vertical="center"/>
    </xf>
    <xf numFmtId="178" fontId="6" fillId="0" borderId="2" xfId="0" applyNumberFormat="1" applyFont="1" applyBorder="1">
      <alignment vertical="center"/>
    </xf>
    <xf numFmtId="178" fontId="6" fillId="0" borderId="15" xfId="0" applyNumberFormat="1" applyFont="1" applyBorder="1">
      <alignment vertical="center"/>
    </xf>
    <xf numFmtId="176" fontId="6" fillId="0" borderId="2" xfId="0" applyNumberFormat="1" applyFont="1" applyBorder="1">
      <alignment vertical="center"/>
    </xf>
    <xf numFmtId="176" fontId="6" fillId="0" borderId="15" xfId="0" applyNumberFormat="1" applyFont="1" applyBorder="1" applyAlignment="1">
      <alignment vertical="center" shrinkToFit="1"/>
    </xf>
    <xf numFmtId="0" fontId="16" fillId="0" borderId="18" xfId="0" applyFont="1" applyBorder="1" applyAlignment="1">
      <alignment horizontal="left" vertical="center"/>
    </xf>
    <xf numFmtId="180" fontId="16" fillId="0" borderId="18" xfId="0" applyNumberFormat="1" applyFont="1" applyBorder="1" applyAlignment="1">
      <alignment horizontal="center" vertical="center"/>
    </xf>
    <xf numFmtId="180" fontId="16" fillId="0" borderId="18" xfId="0" applyNumberFormat="1" applyFont="1" applyBorder="1" applyAlignment="1"/>
    <xf numFmtId="176" fontId="16" fillId="0" borderId="18" xfId="0" applyNumberFormat="1" applyFont="1" applyBorder="1" applyAlignment="1">
      <alignment horizontal="left" vertical="center"/>
    </xf>
    <xf numFmtId="0" fontId="20" fillId="0" borderId="18" xfId="0" applyFont="1" applyBorder="1" applyAlignment="1">
      <alignment horizontal="left" vertical="center" readingOrder="1"/>
    </xf>
    <xf numFmtId="0" fontId="16" fillId="0" borderId="18" xfId="0" applyFont="1" applyBorder="1" applyAlignment="1">
      <alignment horizontal="left" vertical="center" shrinkToFit="1"/>
    </xf>
    <xf numFmtId="180" fontId="16" fillId="0" borderId="18" xfId="0" quotePrefix="1" applyNumberFormat="1" applyFont="1" applyBorder="1" applyAlignment="1">
      <alignment horizontal="center" vertical="center"/>
    </xf>
    <xf numFmtId="0" fontId="16" fillId="0" borderId="18" xfId="0" applyFont="1" applyBorder="1" applyAlignment="1">
      <alignment horizontal="center" vertical="center"/>
    </xf>
    <xf numFmtId="49" fontId="16" fillId="0" borderId="18" xfId="0" applyNumberFormat="1" applyFont="1" applyBorder="1" applyAlignment="1">
      <alignment horizontal="center" vertical="center"/>
    </xf>
    <xf numFmtId="180" fontId="16" fillId="0" borderId="18" xfId="0" applyNumberFormat="1" applyFont="1" applyBorder="1">
      <alignment vertical="center"/>
    </xf>
    <xf numFmtId="0" fontId="16" fillId="0" borderId="18" xfId="0" applyFont="1" applyBorder="1" applyAlignment="1">
      <alignment vertical="center" shrinkToFit="1"/>
    </xf>
    <xf numFmtId="0" fontId="22" fillId="0" borderId="21" xfId="0" applyFont="1" applyBorder="1">
      <alignment vertical="center"/>
    </xf>
    <xf numFmtId="176" fontId="16" fillId="0" borderId="19" xfId="0" applyNumberFormat="1" applyFont="1" applyBorder="1" applyAlignment="1">
      <alignment horizontal="left" vertical="center"/>
    </xf>
    <xf numFmtId="0" fontId="22" fillId="0" borderId="16" xfId="0" applyFont="1" applyBorder="1">
      <alignment vertical="center"/>
    </xf>
    <xf numFmtId="0" fontId="22" fillId="0" borderId="17" xfId="0" applyFont="1" applyBorder="1">
      <alignment vertical="center"/>
    </xf>
    <xf numFmtId="0" fontId="16" fillId="0" borderId="30" xfId="0" applyFont="1" applyBorder="1" applyAlignment="1">
      <alignment horizontal="left" vertical="center"/>
    </xf>
    <xf numFmtId="180" fontId="16" fillId="0" borderId="30" xfId="0" applyNumberFormat="1" applyFont="1" applyBorder="1" applyAlignment="1">
      <alignment horizontal="center" vertical="center"/>
    </xf>
    <xf numFmtId="180" fontId="16" fillId="0" borderId="30" xfId="0" applyNumberFormat="1" applyFont="1" applyBorder="1">
      <alignment vertical="center"/>
    </xf>
    <xf numFmtId="176" fontId="16" fillId="0" borderId="1" xfId="0" applyNumberFormat="1" applyFont="1" applyBorder="1" applyAlignment="1">
      <alignment horizontal="left" vertical="center"/>
    </xf>
    <xf numFmtId="180" fontId="27" fillId="0" borderId="18" xfId="0" applyNumberFormat="1" applyFont="1" applyBorder="1" applyAlignment="1">
      <alignment horizontal="center" vertical="center" wrapText="1" readingOrder="1"/>
    </xf>
    <xf numFmtId="176" fontId="16" fillId="0" borderId="19" xfId="0" applyNumberFormat="1" applyFont="1" applyBorder="1" applyAlignment="1">
      <alignment horizontal="center" vertical="center"/>
    </xf>
    <xf numFmtId="0" fontId="16" fillId="0" borderId="0" xfId="0" applyFont="1" applyAlignment="1">
      <alignment horizontal="center" vertical="center"/>
    </xf>
    <xf numFmtId="0" fontId="27" fillId="0" borderId="18" xfId="0" applyFont="1" applyBorder="1" applyAlignment="1">
      <alignment horizontal="left" vertical="center"/>
    </xf>
    <xf numFmtId="0" fontId="27" fillId="0" borderId="18" xfId="0" applyFont="1" applyBorder="1" applyAlignment="1">
      <alignment horizontal="left" vertical="center" wrapText="1" readingOrder="1"/>
    </xf>
    <xf numFmtId="180" fontId="20" fillId="0" borderId="18" xfId="0" applyNumberFormat="1" applyFont="1" applyBorder="1" applyAlignment="1">
      <alignment horizontal="center" vertical="center" readingOrder="1"/>
    </xf>
    <xf numFmtId="0" fontId="27" fillId="6" borderId="18" xfId="0" applyFont="1" applyFill="1" applyBorder="1" applyAlignment="1">
      <alignment horizontal="left" vertical="center" wrapText="1" readingOrder="1"/>
    </xf>
    <xf numFmtId="180" fontId="20" fillId="0" borderId="18" xfId="0" quotePrefix="1" applyNumberFormat="1" applyFont="1" applyBorder="1" applyAlignment="1">
      <alignment horizontal="center" vertical="center" readingOrder="1"/>
    </xf>
    <xf numFmtId="0" fontId="23" fillId="5" borderId="18" xfId="0" applyFont="1" applyFill="1" applyBorder="1" applyAlignment="1">
      <alignment horizontal="left" vertical="center"/>
    </xf>
    <xf numFmtId="0" fontId="30" fillId="0" borderId="29" xfId="0" applyFont="1" applyBorder="1" applyAlignment="1">
      <alignment horizontal="left" vertical="center"/>
    </xf>
    <xf numFmtId="0" fontId="30" fillId="0" borderId="14" xfId="0" applyFont="1" applyBorder="1" applyAlignment="1">
      <alignment horizontal="left" vertical="center"/>
    </xf>
    <xf numFmtId="0" fontId="6" fillId="2" borderId="8" xfId="1" applyFont="1" applyFill="1" applyBorder="1" applyAlignment="1">
      <alignment horizontal="centerContinuous" vertical="center"/>
    </xf>
    <xf numFmtId="0" fontId="6" fillId="2" borderId="0" xfId="1" applyFont="1" applyFill="1" applyAlignment="1">
      <alignment horizontal="centerContinuous" vertical="center"/>
    </xf>
    <xf numFmtId="0" fontId="6" fillId="2" borderId="9" xfId="1" applyFont="1" applyFill="1" applyBorder="1" applyAlignment="1">
      <alignment horizontal="centerContinuous" vertical="center"/>
    </xf>
    <xf numFmtId="0" fontId="8" fillId="0" borderId="18" xfId="0" applyFont="1" applyBorder="1" applyAlignment="1">
      <alignment horizontal="left" vertical="center" wrapTex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178" fontId="6" fillId="0" borderId="2" xfId="0" applyNumberFormat="1" applyFont="1" applyBorder="1" applyAlignment="1">
      <alignment horizontal="center" vertical="center" wrapText="1"/>
    </xf>
    <xf numFmtId="178" fontId="6" fillId="0" borderId="17" xfId="0" applyNumberFormat="1" applyFont="1" applyBorder="1" applyAlignment="1">
      <alignment horizontal="center" vertical="center" wrapText="1"/>
    </xf>
    <xf numFmtId="178" fontId="6" fillId="0" borderId="14" xfId="0" applyNumberFormat="1" applyFont="1" applyBorder="1" applyAlignment="1">
      <alignment horizontal="center" vertical="center" wrapText="1"/>
    </xf>
    <xf numFmtId="178" fontId="6" fillId="0" borderId="15" xfId="0" applyNumberFormat="1" applyFont="1" applyBorder="1" applyAlignment="1">
      <alignment horizontal="center" vertical="center" wrapText="1"/>
    </xf>
    <xf numFmtId="178" fontId="6" fillId="0" borderId="16"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176" fontId="6" fillId="0" borderId="3" xfId="0" applyNumberFormat="1" applyFont="1" applyBorder="1" applyAlignment="1">
      <alignment horizontal="center" vertical="center" wrapText="1"/>
    </xf>
    <xf numFmtId="176" fontId="6" fillId="0" borderId="4" xfId="0" applyNumberFormat="1" applyFont="1" applyBorder="1" applyAlignment="1">
      <alignment horizontal="center" vertical="center" wrapText="1"/>
    </xf>
    <xf numFmtId="176" fontId="6" fillId="0" borderId="7" xfId="0" applyNumberFormat="1" applyFont="1" applyBorder="1" applyAlignment="1">
      <alignment horizontal="center" vertical="center" wrapText="1"/>
    </xf>
    <xf numFmtId="180" fontId="6" fillId="0" borderId="34" xfId="0" applyNumberFormat="1" applyFont="1" applyBorder="1" applyAlignment="1">
      <alignment horizontal="center" vertical="center" wrapText="1"/>
    </xf>
    <xf numFmtId="180" fontId="6" fillId="0" borderId="35" xfId="0" applyNumberFormat="1" applyFont="1" applyBorder="1" applyAlignment="1">
      <alignment horizontal="center" vertical="center" wrapText="1"/>
    </xf>
    <xf numFmtId="180" fontId="6" fillId="0" borderId="36" xfId="0" applyNumberFormat="1" applyFont="1" applyBorder="1" applyAlignment="1">
      <alignment horizontal="center" vertical="center" wrapText="1"/>
    </xf>
    <xf numFmtId="176" fontId="6" fillId="0" borderId="22" xfId="0" applyNumberFormat="1" applyFont="1" applyBorder="1" applyAlignment="1">
      <alignment horizontal="center" vertical="center" shrinkToFit="1"/>
    </xf>
    <xf numFmtId="176" fontId="6" fillId="0" borderId="23" xfId="0" applyNumberFormat="1" applyFont="1" applyBorder="1" applyAlignment="1">
      <alignment horizontal="center" vertical="center" shrinkToFit="1"/>
    </xf>
    <xf numFmtId="176" fontId="6" fillId="0" borderId="24" xfId="0" applyNumberFormat="1" applyFont="1" applyBorder="1" applyAlignment="1">
      <alignment horizontal="center" vertical="center" shrinkToFit="1"/>
    </xf>
    <xf numFmtId="176" fontId="6" fillId="0" borderId="22" xfId="0" applyNumberFormat="1" applyFont="1" applyBorder="1" applyAlignment="1">
      <alignment horizontal="center" vertical="center" wrapText="1"/>
    </xf>
    <xf numFmtId="176" fontId="6" fillId="0" borderId="23" xfId="0" applyNumberFormat="1" applyFont="1" applyBorder="1" applyAlignment="1">
      <alignment horizontal="center" vertical="center" wrapText="1"/>
    </xf>
    <xf numFmtId="176" fontId="6" fillId="0" borderId="24" xfId="0" applyNumberFormat="1" applyFont="1" applyBorder="1" applyAlignment="1">
      <alignment horizontal="center" vertical="center" wrapText="1"/>
    </xf>
    <xf numFmtId="180" fontId="6" fillId="0" borderId="8" xfId="0" applyNumberFormat="1" applyFont="1" applyBorder="1" applyAlignment="1">
      <alignment horizontal="center" vertical="center" wrapText="1"/>
    </xf>
    <xf numFmtId="180" fontId="6" fillId="0" borderId="0" xfId="0" applyNumberFormat="1" applyFont="1" applyAlignment="1">
      <alignment horizontal="center" vertical="center" wrapText="1"/>
    </xf>
    <xf numFmtId="180" fontId="6" fillId="0" borderId="9" xfId="0" applyNumberFormat="1" applyFont="1" applyBorder="1" applyAlignment="1">
      <alignment horizontal="center" vertical="center" wrapText="1"/>
    </xf>
    <xf numFmtId="0" fontId="11" fillId="2" borderId="1" xfId="2" applyFont="1" applyFill="1" applyBorder="1">
      <alignment horizontal="center" vertical="center"/>
    </xf>
    <xf numFmtId="0" fontId="11" fillId="2" borderId="2" xfId="2" applyFont="1" applyFill="1" applyBorder="1">
      <alignment horizontal="center" vertical="center"/>
    </xf>
    <xf numFmtId="0" fontId="11" fillId="2" borderId="17" xfId="2" applyFont="1" applyFill="1" applyBorder="1">
      <alignment horizontal="center" vertical="center"/>
    </xf>
    <xf numFmtId="0" fontId="11" fillId="2" borderId="14" xfId="2" applyFont="1" applyFill="1" applyBorder="1">
      <alignment horizontal="center" vertical="center"/>
    </xf>
    <xf numFmtId="0" fontId="11" fillId="2" borderId="15" xfId="2" applyFont="1" applyFill="1" applyBorder="1">
      <alignment horizontal="center" vertical="center"/>
    </xf>
    <xf numFmtId="0" fontId="11" fillId="2" borderId="16" xfId="2" applyFont="1" applyFill="1" applyBorder="1">
      <alignment horizontal="center" vertical="center"/>
    </xf>
    <xf numFmtId="0" fontId="0" fillId="0" borderId="18" xfId="0" applyBorder="1" applyAlignment="1">
      <alignment horizontal="center" vertic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6" fillId="0" borderId="18" xfId="0" applyFont="1" applyBorder="1" applyAlignment="1">
      <alignment horizontal="center" vertical="center" wrapText="1"/>
    </xf>
    <xf numFmtId="0" fontId="6" fillId="2" borderId="1" xfId="3" applyFont="1" applyFill="1" applyBorder="1" applyAlignment="1">
      <alignment horizontal="center" vertical="center"/>
    </xf>
    <xf numFmtId="0" fontId="6" fillId="2" borderId="2" xfId="3" applyFont="1" applyFill="1" applyBorder="1" applyAlignment="1">
      <alignment horizontal="center" vertical="center"/>
    </xf>
    <xf numFmtId="0" fontId="6" fillId="2" borderId="17" xfId="3" applyFont="1" applyFill="1" applyBorder="1" applyAlignment="1">
      <alignment horizontal="center" vertical="center"/>
    </xf>
    <xf numFmtId="0" fontId="6" fillId="2" borderId="14" xfId="3" applyFont="1" applyFill="1" applyBorder="1" applyAlignment="1">
      <alignment horizontal="center" vertical="center"/>
    </xf>
    <xf numFmtId="0" fontId="6" fillId="2" borderId="15" xfId="3" applyFont="1" applyFill="1" applyBorder="1" applyAlignment="1">
      <alignment horizontal="center" vertical="center"/>
    </xf>
    <xf numFmtId="0" fontId="6" fillId="2" borderId="16" xfId="3" applyFont="1" applyFill="1" applyBorder="1" applyAlignment="1">
      <alignment horizontal="center" vertical="center"/>
    </xf>
    <xf numFmtId="0" fontId="6" fillId="0" borderId="19" xfId="0" applyFont="1" applyBorder="1" applyAlignment="1">
      <alignment horizontal="center" vertical="center" wrapText="1"/>
    </xf>
    <xf numFmtId="0" fontId="3" fillId="3" borderId="0" xfId="1" applyFont="1" applyFill="1" applyAlignment="1">
      <alignment horizontal="center" vertical="center"/>
    </xf>
    <xf numFmtId="0" fontId="13" fillId="4" borderId="0" xfId="0" applyFont="1" applyFill="1" applyAlignment="1">
      <alignment horizontal="center" vertical="center"/>
    </xf>
    <xf numFmtId="0" fontId="6" fillId="3" borderId="0" xfId="0" applyFont="1" applyFill="1" applyAlignment="1">
      <alignment horizontal="center" vertical="center" wrapText="1"/>
    </xf>
    <xf numFmtId="0" fontId="13" fillId="3" borderId="0" xfId="0" applyFont="1" applyFill="1" applyAlignment="1">
      <alignment horizontal="center" vertical="center"/>
    </xf>
    <xf numFmtId="0" fontId="8" fillId="0" borderId="19" xfId="0" applyFont="1" applyBorder="1" applyAlignment="1">
      <alignment horizontal="left" vertical="center" wrapText="1"/>
    </xf>
    <xf numFmtId="0" fontId="0" fillId="0" borderId="6"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176" fontId="0" fillId="0" borderId="28" xfId="0" applyNumberFormat="1" applyBorder="1" applyAlignment="1">
      <alignment horizontal="center" vertical="center"/>
    </xf>
    <xf numFmtId="176" fontId="0" fillId="0" borderId="11" xfId="0" applyNumberFormat="1" applyBorder="1" applyAlignment="1">
      <alignment horizontal="center" vertical="center"/>
    </xf>
    <xf numFmtId="176" fontId="0" fillId="0" borderId="13" xfId="0" applyNumberForma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0" fillId="0" borderId="8" xfId="0" applyFont="1" applyBorder="1" applyAlignment="1">
      <alignment horizontal="center" vertical="center" shrinkToFit="1"/>
    </xf>
    <xf numFmtId="0" fontId="10" fillId="0" borderId="0" xfId="0" applyFont="1" applyAlignment="1">
      <alignment horizontal="center" vertical="center" shrinkToFit="1"/>
    </xf>
    <xf numFmtId="0" fontId="10" fillId="0" borderId="9" xfId="0" applyFont="1" applyBorder="1" applyAlignment="1">
      <alignment horizontal="center" vertical="center" shrinkToFi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6" fillId="0" borderId="26" xfId="0" applyFont="1" applyBorder="1" applyAlignment="1">
      <alignment horizontal="center" vertical="center" wrapText="1"/>
    </xf>
    <xf numFmtId="0" fontId="6" fillId="0" borderId="22"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24" xfId="0" applyFont="1" applyBorder="1" applyAlignment="1">
      <alignment horizontal="center" vertical="center" shrinkToFit="1"/>
    </xf>
    <xf numFmtId="0" fontId="6" fillId="0" borderId="27" xfId="0" applyFont="1" applyBorder="1" applyAlignment="1">
      <alignment horizontal="center" vertical="center" wrapText="1"/>
    </xf>
    <xf numFmtId="180" fontId="6" fillId="0" borderId="18" xfId="0" applyNumberFormat="1" applyFont="1" applyBorder="1" applyAlignment="1">
      <alignment horizontal="center" vertical="center" wrapText="1"/>
    </xf>
    <xf numFmtId="176" fontId="6" fillId="0" borderId="25" xfId="0" applyNumberFormat="1" applyFont="1" applyBorder="1" applyAlignment="1">
      <alignment horizontal="center" vertical="center" wrapText="1"/>
    </xf>
    <xf numFmtId="0" fontId="6" fillId="0" borderId="25" xfId="0" applyFont="1" applyBorder="1" applyAlignment="1">
      <alignment horizontal="center" vertical="center" wrapText="1"/>
    </xf>
    <xf numFmtId="0" fontId="1" fillId="2" borderId="18" xfId="5" applyFill="1" applyBorder="1" applyAlignment="1">
      <alignment horizontal="center" vertical="center" wrapText="1" shrinkToFit="1"/>
    </xf>
    <xf numFmtId="0" fontId="12" fillId="2" borderId="18" xfId="5" applyFont="1" applyFill="1" applyBorder="1" applyAlignment="1">
      <alignment horizontal="center" vertical="center" shrinkToFit="1"/>
    </xf>
    <xf numFmtId="0" fontId="1" fillId="2" borderId="18" xfId="1" applyFill="1" applyBorder="1" applyAlignment="1">
      <alignment horizontal="center" vertical="center"/>
    </xf>
    <xf numFmtId="2" fontId="12" fillId="0" borderId="19" xfId="5" applyNumberFormat="1" applyFont="1" applyBorder="1" applyAlignment="1">
      <alignment horizontal="center" vertical="center"/>
    </xf>
    <xf numFmtId="2" fontId="12" fillId="0" borderId="20" xfId="5" applyNumberFormat="1" applyFont="1" applyBorder="1" applyAlignment="1">
      <alignment horizontal="center" vertical="center"/>
    </xf>
    <xf numFmtId="2" fontId="12" fillId="0" borderId="21" xfId="5" applyNumberFormat="1" applyFont="1" applyBorder="1" applyAlignment="1">
      <alignment horizontal="center" vertical="center"/>
    </xf>
    <xf numFmtId="56" fontId="12" fillId="0" borderId="19" xfId="5" applyNumberFormat="1" applyFont="1" applyBorder="1" applyAlignment="1">
      <alignment horizontal="center" vertical="center"/>
    </xf>
    <xf numFmtId="56" fontId="12" fillId="0" borderId="20" xfId="5" applyNumberFormat="1" applyFont="1" applyBorder="1" applyAlignment="1">
      <alignment horizontal="center" vertical="center"/>
    </xf>
    <xf numFmtId="0" fontId="12" fillId="0" borderId="21" xfId="5" applyFont="1" applyBorder="1" applyAlignment="1">
      <alignment horizontal="center" vertical="center"/>
    </xf>
    <xf numFmtId="49" fontId="12" fillId="0" borderId="19" xfId="5" applyNumberFormat="1" applyFont="1" applyBorder="1" applyAlignment="1">
      <alignment horizontal="center" vertical="center" shrinkToFit="1"/>
    </xf>
    <xf numFmtId="49" fontId="12" fillId="0" borderId="20" xfId="5" applyNumberFormat="1" applyFont="1" applyBorder="1" applyAlignment="1">
      <alignment horizontal="center" vertical="center" shrinkToFit="1"/>
    </xf>
    <xf numFmtId="49" fontId="12" fillId="0" borderId="21" xfId="5" applyNumberFormat="1" applyFont="1" applyBorder="1" applyAlignment="1">
      <alignment horizontal="center" vertical="center" shrinkToFit="1"/>
    </xf>
  </cellXfs>
  <cellStyles count="6">
    <cellStyle name="標準" xfId="0" builtinId="0"/>
    <cellStyle name="標準 2" xfId="4" xr:uid="{00000000-0005-0000-0000-000002000000}"/>
    <cellStyle name="標準_a_EMC試験報告書F-00050電子" xfId="5" xr:uid="{00000000-0005-0000-0000-000004000000}"/>
    <cellStyle name="標準_Sheet1" xfId="1" xr:uid="{00000000-0005-0000-0000-000005000000}"/>
    <cellStyle name="標準_おおた" xfId="3" xr:uid="{00000000-0005-0000-0000-000006000000}"/>
    <cellStyle name="標準_方法 " xfId="2" xr:uid="{00000000-0005-0000-0000-000007000000}"/>
  </cellStyles>
  <dxfs count="14">
    <dxf>
      <font>
        <color indexed="12"/>
      </font>
    </dxf>
    <dxf>
      <font>
        <color indexed="12"/>
      </font>
    </dxf>
    <dxf>
      <font>
        <b val="0"/>
        <i val="0"/>
        <strike val="0"/>
        <condense val="0"/>
        <extend val="0"/>
        <outline val="0"/>
        <shadow val="0"/>
        <u val="none"/>
        <vertAlign val="baseline"/>
        <sz val="11"/>
        <color theme="1"/>
        <name val="Arial"/>
        <family val="2"/>
        <scheme val="none"/>
      </font>
      <numFmt numFmtId="176"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80"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80"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80"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8A"/>
      <color rgb="FFA6A6A6"/>
      <color rgb="FFFFFF99"/>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externalLink" Target="externalLinks/externalLink1.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8</xdr:col>
      <xdr:colOff>251460</xdr:colOff>
      <xdr:row>0</xdr:row>
      <xdr:rowOff>205740</xdr:rowOff>
    </xdr:from>
    <xdr:to>
      <xdr:col>11</xdr:col>
      <xdr:colOff>251460</xdr:colOff>
      <xdr:row>108</xdr:row>
      <xdr:rowOff>81915</xdr:rowOff>
    </xdr:to>
    <mc:AlternateContent xmlns:mc="http://schemas.openxmlformats.org/markup-compatibility/2006" xmlns:sle15="http://schemas.microsoft.com/office/drawing/2012/slicer">
      <mc:Choice Requires="sle15">
        <xdr:graphicFrame macro="">
          <xdr:nvGraphicFramePr>
            <xdr:cNvPr id="2" name="部屋">
              <a:extLst>
                <a:ext uri="{FF2B5EF4-FFF2-40B4-BE49-F238E27FC236}">
                  <a16:creationId xmlns:a16="http://schemas.microsoft.com/office/drawing/2014/main" id="{9520810F-0CD3-3FCD-73DA-B91E88E5BD30}"/>
                </a:ext>
              </a:extLst>
            </xdr:cNvPr>
            <xdr:cNvGraphicFramePr/>
          </xdr:nvGraphicFramePr>
          <xdr:xfrm>
            <a:off x="0" y="0"/>
            <a:ext cx="0" cy="0"/>
          </xdr:xfrm>
          <a:graphic>
            <a:graphicData uri="http://schemas.microsoft.com/office/drawing/2010/slicer">
              <sle:slicer xmlns:sle="http://schemas.microsoft.com/office/drawing/2010/slicer" name="部屋"/>
            </a:graphicData>
          </a:graphic>
        </xdr:graphicFrame>
      </mc:Choice>
      <mc:Fallback xmlns="">
        <xdr:sp macro="" textlink="">
          <xdr:nvSpPr>
            <xdr:cNvPr id="0" name=""/>
            <xdr:cNvSpPr>
              <a:spLocks noTextEdit="1"/>
            </xdr:cNvSpPr>
          </xdr:nvSpPr>
          <xdr:spPr>
            <a:xfrm>
              <a:off x="11940540" y="205740"/>
              <a:ext cx="1828800" cy="2238375"/>
            </a:xfrm>
            <a:prstGeom prst="rect">
              <a:avLst/>
            </a:prstGeom>
            <a:solidFill>
              <a:prstClr val="white"/>
            </a:solidFill>
            <a:ln w="1">
              <a:solidFill>
                <a:prstClr val="green"/>
              </a:solidFill>
            </a:ln>
          </xdr:spPr>
          <xdr:txBody>
            <a:bodyPr vertOverflow="clip" horzOverflow="clip"/>
            <a:lstStyle/>
            <a:p>
              <a:r>
                <a:rPr lang="ja-JP" altLang="en-US" sz="1100"/>
                <a:t>この図形はテーブル スライサーを表しています。テーブル スライサーはこのバージョンの Excel ではサポートされていません。
以前のバージョンの Excel で図形を変更した場合、または Excel 2007 以前の形式でブックを保存した場合は、スライサーを使用できません。</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15</xdr:row>
      <xdr:rowOff>152400</xdr:rowOff>
    </xdr:from>
    <xdr:to>
      <xdr:col>34</xdr:col>
      <xdr:colOff>11430</xdr:colOff>
      <xdr:row>30</xdr:row>
      <xdr:rowOff>43815</xdr:rowOff>
    </xdr:to>
    <xdr:sp macro="" textlink="">
      <xdr:nvSpPr>
        <xdr:cNvPr id="2" name="テキスト ボックス 1">
          <a:extLst>
            <a:ext uri="{FF2B5EF4-FFF2-40B4-BE49-F238E27FC236}">
              <a16:creationId xmlns:a16="http://schemas.microsoft.com/office/drawing/2014/main" id="{498D2D5A-99B1-4A7A-9375-91BA1A587863}"/>
            </a:ext>
          </a:extLst>
        </xdr:cNvPr>
        <xdr:cNvSpPr txBox="1"/>
      </xdr:nvSpPr>
      <xdr:spPr>
        <a:xfrm>
          <a:off x="1000125" y="3067050"/>
          <a:ext cx="4497705" cy="24631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0001179493/Downloads/MJ26-00202_&#22577;&#21578;&#26360;_13315_-_6_1_-_-%20(1).xlsx" TargetMode="External"/><Relationship Id="rId2" Type="http://schemas.openxmlformats.org/officeDocument/2006/relationships/externalLinkPath" Target="file:///C:\Users\10001179493\Downloads\MJ26-00202_&#22577;&#21578;&#26360;_13315_-_6_1_-_-%20(1).xlsx" TargetMode="External"/><Relationship Id="rId1" Type="http://schemas.openxmlformats.org/officeDocument/2006/relationships/externalLinkPath" Target="/Users/10001179493/Downloads/MJ26-00202_&#22577;&#21578;&#26360;_13315_-_6_1_-_-%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結果"/>
      <sheetName val="電子_条件"/>
      <sheetName val="TSC7026G_電流プローブ法_結果詳細"/>
      <sheetName val="TSC7026G_電流プローブ法_結果詳細_4G,5G"/>
      <sheetName val="TSC7026G_電圧プローブ法_結果詳細"/>
      <sheetName val="TSC7222G_結果詳細"/>
      <sheetName val="詳細(電流プローブ)"/>
      <sheetName val="詳細(電流プローブ) 4G,5G帯"/>
      <sheetName val="詳細(電圧プローブ)"/>
      <sheetName val="試験装置・試験一覧表"/>
      <sheetName val="試験装置・試験一覧表（2）"/>
    </sheetNames>
    <sheetDataSet>
      <sheetData sheetId="0">
        <row r="52">
          <cell r="AU52" t="str">
            <v>〇</v>
          </cell>
        </row>
        <row r="53">
          <cell r="AU53" t="str">
            <v>×</v>
          </cell>
        </row>
        <row r="54">
          <cell r="AU54" t="str">
            <v>-</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Aoi Nomura (野村 葵)" id="{7DA98462-9D77-4D90-8893-89AF381BC08B}" userId="S::aoi.nomura.j4v@jp.denso.com::f430ad14-0663-42f3-8435-57c4b172e93c"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スライサー_部屋" xr10:uid="{CABE1E09-3982-47F2-A0DA-EA7422EFDC08}" sourceName="部屋">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部屋" xr10:uid="{EBD9C9D1-AD10-4E17-B8CF-20335D11D033}" cache="スライサー_部屋" caption="部屋"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1E9D65-D884-4CD6-8471-2C5F6046F120}" name="T_常設機器一覧" displayName="T_常設機器一覧" ref="A1:H143" totalsRowShown="0" headerRowDxfId="13" headerRowBorderDxfId="12" tableBorderDxfId="11" totalsRowBorderDxfId="10">
  <autoFilter ref="A1:H143" xr:uid="{951E9D65-D884-4CD6-8471-2C5F6046F120}">
    <filterColumn colId="0">
      <filters>
        <filter val="104_6F_北SR12"/>
      </filters>
    </filterColumn>
  </autoFilter>
  <tableColumns count="8">
    <tableColumn id="1" xr3:uid="{FB3761D8-48E3-4D90-8600-C5782687CB4A}" name="部屋" dataDxfId="9"/>
    <tableColumn id="2" xr3:uid="{765062F3-8860-437E-8FCD-44A247A489B1}" name="名称" dataDxfId="8"/>
    <tableColumn id="3" xr3:uid="{6B42341B-895A-4A3F-97DD-22BB4CD8EE0B}" name="メーカ" dataDxfId="7"/>
    <tableColumn id="4" xr3:uid="{6CCBF1EB-B4A8-4D6A-9EE9-CDA050736282}" name="型式" dataDxfId="6"/>
    <tableColumn id="5" xr3:uid="{7B4B2D2A-F31D-43B8-9598-94169D39B0D6}" name="全社連番" dataDxfId="5"/>
    <tableColumn id="6" xr3:uid="{84FE27FC-EB5E-4AD3-8501-12B8A44F24A7}" name="管理No." dataDxfId="4"/>
    <tableColumn id="7" xr3:uid="{134742BF-D425-41DC-8EC5-588588B82939}" name="管理部署" dataDxfId="3"/>
    <tableColumn id="8" xr3:uid="{7D55D8D0-C89E-4B1A-AFE6-EAD57A1EB8DC}" name="有効期限" dataDxfId="2"/>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5" dT="2026-05-22T00:14:48.67" personId="{7DA98462-9D77-4D90-8893-89AF381BC08B}" id="{39F4F2EA-B6E3-4B22-A435-A8342848AA29}">
    <text>二か月延長許可</text>
  </threadedComment>
  <threadedComment ref="H28" dT="2026-05-22T00:14:48.67" personId="{7DA98462-9D77-4D90-8893-89AF381BC08B}" id="{F4D5E91C-793C-4B66-AD8E-CC76282C6F69}">
    <text xml:space="preserve">二ヶ月延長許可
</text>
  </threadedComment>
  <threadedComment ref="H29" dT="2026-05-22T00:14:48.67" personId="{7DA98462-9D77-4D90-8893-89AF381BC08B}" id="{5E7BB5EF-14EE-4E23-83BC-0FA4C64063AC}">
    <text xml:space="preserve">二ヶ月延長許可
</text>
  </threadedComment>
  <threadedComment ref="H30" dT="2026-05-22T00:14:48.67" personId="{7DA98462-9D77-4D90-8893-89AF381BC08B}" id="{D48E9152-BB3A-416C-AAE7-9F381A0D23FA}">
    <text xml:space="preserve">二ヶ月延長許可
</text>
  </threadedComment>
  <threadedComment ref="H31" dT="2026-05-22T00:14:48.67" personId="{7DA98462-9D77-4D90-8893-89AF381BC08B}" id="{27FDD688-9E1F-4F53-92C1-87B96181DD11}">
    <text xml:space="preserve">二ヶ月延長許可
</text>
  </threadedComment>
  <threadedComment ref="H32" dT="2026-05-22T00:14:48.67" personId="{7DA98462-9D77-4D90-8893-89AF381BC08B}" id="{0E290AEE-83C5-47DE-BAAF-43ADC3F65936}">
    <text xml:space="preserve">二ヶ月延長許可
</text>
  </threadedComment>
  <threadedComment ref="H33" dT="2026-05-22T00:14:48.67" personId="{7DA98462-9D77-4D90-8893-89AF381BC08B}" id="{C89F1793-6D94-4EE5-8293-7A5FC08C0E25}">
    <text xml:space="preserve">二ヶ月延長許可
</text>
  </threadedComment>
  <threadedComment ref="H35" dT="2026-05-22T00:14:48.67" personId="{7DA98462-9D77-4D90-8893-89AF381BC08B}" id="{945B587F-1EB3-4278-98F9-1713EE6643CC}">
    <text xml:space="preserve">二ヶ月延長許可
</text>
  </threadedComment>
  <threadedComment ref="H36" dT="2026-05-26T07:37:49.27" personId="{7DA98462-9D77-4D90-8893-89AF381BC08B}" id="{D3042518-F58B-4074-B8CA-605AE8B887A5}">
    <text>ラベル張替え必要
定期点検の表記が2025のまま</text>
  </threadedComment>
  <threadedComment ref="H38" dT="2026-05-22T00:14:48.67" personId="{7DA98462-9D77-4D90-8893-89AF381BC08B}" id="{B8DECC61-0DD0-4A6C-9ABB-EB588D3E4017}">
    <text xml:space="preserve">二ヶ月延長許可
</text>
  </threadedComment>
  <threadedComment ref="H39" dT="2026-05-22T00:14:48.67" personId="{7DA98462-9D77-4D90-8893-89AF381BC08B}" id="{E37BEE9B-BD3B-41CE-9B2D-31F98F20B2E6}">
    <text xml:space="preserve">二ヶ月延長許可
</text>
  </threadedComment>
  <threadedComment ref="H45" dT="2026-05-22T00:14:48.67" personId="{7DA98462-9D77-4D90-8893-89AF381BC08B}" id="{7FD31F35-604D-43FF-977B-E29D7F9B5A29}">
    <text xml:space="preserve">二ヶ月延長許可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pageSetUpPr fitToPage="1"/>
  </sheetPr>
  <dimension ref="A1:BV476"/>
  <sheetViews>
    <sheetView showGridLines="0" topLeftCell="A14" zoomScaleNormal="100" workbookViewId="0">
      <selection activeCell="D7" sqref="D7:L8"/>
    </sheetView>
  </sheetViews>
  <sheetFormatPr defaultRowHeight="13.2"/>
  <cols>
    <col min="1" max="33" width="2.33203125" customWidth="1"/>
    <col min="34" max="34" width="2.109375" customWidth="1"/>
    <col min="35" max="45" width="2.33203125" customWidth="1"/>
    <col min="48" max="56" width="2.33203125" customWidth="1"/>
    <col min="57" max="58" width="11" customWidth="1"/>
    <col min="59" max="65" width="2.33203125" customWidth="1"/>
    <col min="66" max="66" width="2.109375" customWidth="1"/>
    <col min="67" max="70" width="2.33203125" customWidth="1"/>
  </cols>
  <sheetData>
    <row r="1" spans="1:70" ht="15.9" customHeight="1">
      <c r="A1" t="s">
        <v>0</v>
      </c>
      <c r="AQ1" s="47" t="str">
        <f ca="1">_xlfn.SHEET()&amp;"/"&amp;_xlfn.SHEETS()</f>
        <v>1/4</v>
      </c>
    </row>
    <row r="2" spans="1:70" ht="21.9" customHeight="1">
      <c r="A2" s="1"/>
      <c r="B2" s="2"/>
      <c r="C2" s="3"/>
      <c r="D2" s="4"/>
      <c r="E2" s="4"/>
      <c r="F2" s="4"/>
      <c r="G2" s="4"/>
      <c r="H2" s="4"/>
      <c r="I2" s="4"/>
      <c r="J2" s="4"/>
      <c r="K2" s="4"/>
      <c r="L2" s="4"/>
      <c r="M2" s="4"/>
      <c r="N2" s="4"/>
      <c r="O2" s="4"/>
      <c r="P2" s="4"/>
      <c r="Q2" s="4"/>
      <c r="R2" s="4"/>
      <c r="S2" s="4"/>
      <c r="T2" s="4"/>
      <c r="U2" s="4"/>
      <c r="V2" s="4"/>
      <c r="W2" s="4"/>
      <c r="X2" s="4"/>
      <c r="Y2" s="4"/>
      <c r="Z2" s="4"/>
      <c r="AA2" s="4"/>
      <c r="AB2" s="4"/>
      <c r="AC2" s="4"/>
      <c r="AD2" s="4"/>
      <c r="AE2" s="172" t="s">
        <v>1</v>
      </c>
      <c r="AF2" s="164"/>
      <c r="AG2" s="173"/>
      <c r="AH2" s="163" t="e">
        <f>#REF!</f>
        <v>#REF!</v>
      </c>
      <c r="AI2" s="164"/>
      <c r="AJ2" s="164"/>
      <c r="AK2" s="164"/>
      <c r="AL2" s="164"/>
      <c r="AM2" s="164"/>
      <c r="AN2" s="164"/>
      <c r="AO2" s="164"/>
      <c r="AP2" s="164"/>
      <c r="AQ2" s="165"/>
      <c r="AR2" s="5"/>
    </row>
    <row r="3" spans="1:70" ht="21.9" customHeight="1">
      <c r="A3" s="6"/>
      <c r="C3" s="174" t="e">
        <f>#REF!</f>
        <v>#REF!</v>
      </c>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6"/>
      <c r="AE3" s="177" t="s">
        <v>2</v>
      </c>
      <c r="AF3" s="178"/>
      <c r="AG3" s="179"/>
      <c r="AH3" s="166" t="e">
        <f>#REF!</f>
        <v>#REF!</v>
      </c>
      <c r="AI3" s="167"/>
      <c r="AJ3" s="167"/>
      <c r="AK3" s="167"/>
      <c r="AL3" s="167"/>
      <c r="AM3" s="167"/>
      <c r="AN3" s="167"/>
      <c r="AO3" s="167"/>
      <c r="AP3" s="167"/>
      <c r="AQ3" s="168"/>
      <c r="AR3" s="7"/>
    </row>
    <row r="4" spans="1:70" ht="21.9" customHeight="1">
      <c r="A4" s="8"/>
      <c r="B4" s="9"/>
      <c r="C4" s="180" t="s">
        <v>23</v>
      </c>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2"/>
      <c r="AE4" s="169"/>
      <c r="AF4" s="170"/>
      <c r="AG4" s="170"/>
      <c r="AH4" s="170"/>
      <c r="AI4" s="170"/>
      <c r="AJ4" s="170"/>
      <c r="AK4" s="170"/>
      <c r="AL4" s="170"/>
      <c r="AM4" s="170"/>
      <c r="AN4" s="170"/>
      <c r="AO4" s="170"/>
      <c r="AP4" s="170"/>
      <c r="AQ4" s="171"/>
    </row>
    <row r="5" spans="1:70">
      <c r="C5" s="3"/>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11"/>
      <c r="BE5" s="61"/>
      <c r="BF5" s="61"/>
      <c r="BG5" s="48"/>
      <c r="BH5" s="48"/>
      <c r="BI5" s="50"/>
      <c r="BJ5" s="50"/>
      <c r="BK5" s="61"/>
      <c r="BL5" s="61"/>
      <c r="BM5" s="48"/>
      <c r="BN5" s="48"/>
      <c r="BO5" s="48"/>
      <c r="BP5" s="48"/>
      <c r="BQ5" s="48"/>
      <c r="BR5" s="48"/>
    </row>
    <row r="6" spans="1:70" ht="13.5" customHeight="1">
      <c r="C6" s="10"/>
      <c r="D6" t="s">
        <v>330</v>
      </c>
      <c r="AO6" s="28"/>
      <c r="AP6" s="28"/>
      <c r="AQ6" s="11"/>
      <c r="AV6" s="28"/>
      <c r="AW6" s="28"/>
      <c r="AX6" s="28"/>
      <c r="AY6" s="28"/>
      <c r="AZ6" s="28"/>
      <c r="BA6" s="28"/>
      <c r="BB6" s="28"/>
      <c r="BC6" s="28"/>
      <c r="BD6" s="28"/>
      <c r="BE6" s="62"/>
      <c r="BF6" s="62"/>
      <c r="BG6" s="62"/>
      <c r="BH6" s="62"/>
      <c r="BI6" s="62"/>
      <c r="BJ6" s="62"/>
      <c r="BK6" s="62"/>
      <c r="BL6" s="62"/>
      <c r="BM6" s="62"/>
      <c r="BN6" s="62"/>
      <c r="BO6" s="62"/>
      <c r="BP6" s="62"/>
      <c r="BQ6" s="62"/>
      <c r="BR6" s="62"/>
    </row>
    <row r="7" spans="1:70">
      <c r="A7" s="12"/>
      <c r="B7" s="13"/>
      <c r="C7" s="10"/>
      <c r="D7" s="147" t="s">
        <v>105</v>
      </c>
      <c r="E7" s="147"/>
      <c r="F7" s="147"/>
      <c r="G7" s="147"/>
      <c r="H7" s="147"/>
      <c r="I7" s="147"/>
      <c r="J7" s="147"/>
      <c r="K7" s="147"/>
      <c r="L7" s="147"/>
      <c r="AO7" s="28"/>
      <c r="AP7" s="28"/>
      <c r="AQ7" s="11"/>
      <c r="BE7" s="48"/>
      <c r="BF7" s="48"/>
      <c r="BG7" s="48"/>
      <c r="BH7" s="48"/>
      <c r="BI7" s="48"/>
      <c r="BJ7" s="48"/>
      <c r="BK7" s="48"/>
      <c r="BL7" s="48"/>
      <c r="BM7" s="48"/>
      <c r="BN7" s="48"/>
      <c r="BO7" s="61"/>
      <c r="BP7" s="61"/>
      <c r="BQ7" s="61"/>
      <c r="BR7" s="61"/>
    </row>
    <row r="8" spans="1:70">
      <c r="C8" s="10"/>
      <c r="D8" s="147"/>
      <c r="E8" s="147"/>
      <c r="F8" s="147"/>
      <c r="G8" s="147"/>
      <c r="H8" s="147"/>
      <c r="I8" s="147"/>
      <c r="J8" s="147"/>
      <c r="K8" s="147"/>
      <c r="L8" s="147"/>
      <c r="AO8" s="28"/>
      <c r="AP8" s="28"/>
      <c r="AQ8" s="11"/>
      <c r="AV8" s="48"/>
      <c r="AW8" s="48"/>
      <c r="AX8" s="48"/>
      <c r="AY8" s="48"/>
      <c r="AZ8" s="48"/>
      <c r="BA8" s="48"/>
      <c r="BB8" s="48"/>
      <c r="BC8" s="48"/>
      <c r="BD8" s="48"/>
      <c r="BE8" s="50"/>
      <c r="BF8" s="50"/>
      <c r="BG8" s="50"/>
      <c r="BH8" s="48"/>
      <c r="BI8" s="48"/>
      <c r="BJ8" s="48"/>
      <c r="BK8" s="48"/>
      <c r="BL8" s="48"/>
      <c r="BM8" s="48"/>
      <c r="BN8" s="48"/>
      <c r="BO8" s="61"/>
      <c r="BP8" s="61"/>
      <c r="BQ8" s="61"/>
      <c r="BR8" s="61"/>
    </row>
    <row r="9" spans="1:70" ht="13.5" customHeight="1">
      <c r="C9" s="10"/>
      <c r="AO9" s="28"/>
      <c r="AP9" s="28"/>
      <c r="AQ9" s="11"/>
      <c r="AV9" s="160"/>
      <c r="AW9" s="160"/>
      <c r="AX9" s="160"/>
      <c r="AY9" s="160"/>
      <c r="AZ9" s="160"/>
      <c r="BA9" s="160"/>
      <c r="BB9" s="160"/>
      <c r="BC9" s="160"/>
      <c r="BD9" s="160"/>
      <c r="BE9" s="51"/>
      <c r="BF9" s="51"/>
      <c r="BG9" s="159"/>
      <c r="BH9" s="159"/>
      <c r="BI9" s="159"/>
      <c r="BJ9" s="159"/>
      <c r="BK9" s="159"/>
      <c r="BL9" s="159"/>
      <c r="BM9" s="159"/>
      <c r="BN9" s="159"/>
      <c r="BO9" s="61"/>
      <c r="BP9" s="61"/>
      <c r="BQ9" s="61"/>
      <c r="BR9" s="61"/>
    </row>
    <row r="10" spans="1:70" ht="13.2" customHeight="1">
      <c r="C10" s="10"/>
      <c r="AO10" s="28"/>
      <c r="AP10" s="28"/>
      <c r="AQ10" s="11"/>
      <c r="AV10" s="160"/>
      <c r="AW10" s="160"/>
      <c r="AX10" s="160"/>
      <c r="AY10" s="160"/>
      <c r="AZ10" s="160"/>
      <c r="BA10" s="160"/>
      <c r="BB10" s="160"/>
      <c r="BC10" s="160"/>
      <c r="BD10" s="160"/>
      <c r="BE10" s="51"/>
      <c r="BF10" s="51"/>
      <c r="BG10" s="161"/>
      <c r="BH10" s="161"/>
      <c r="BI10" s="161"/>
      <c r="BJ10" s="161"/>
      <c r="BK10" s="161"/>
      <c r="BL10" s="161"/>
      <c r="BM10" s="161"/>
      <c r="BN10" s="161"/>
      <c r="BO10" s="61"/>
      <c r="BP10" s="61"/>
      <c r="BQ10" s="61"/>
      <c r="BR10" s="61"/>
    </row>
    <row r="11" spans="1:70" ht="13.5" customHeight="1">
      <c r="C11" s="10" t="s">
        <v>3</v>
      </c>
      <c r="AO11" s="28"/>
      <c r="AP11" s="28"/>
      <c r="AQ11" s="11"/>
      <c r="AV11" s="160"/>
      <c r="AW11" s="160"/>
      <c r="AX11" s="160"/>
      <c r="AY11" s="160"/>
      <c r="AZ11" s="160"/>
      <c r="BA11" s="160"/>
      <c r="BB11" s="160"/>
      <c r="BC11" s="160"/>
      <c r="BD11" s="160"/>
      <c r="BE11" s="51"/>
      <c r="BF11" s="51"/>
      <c r="BG11" s="148"/>
      <c r="BH11" s="148"/>
      <c r="BI11" s="148"/>
      <c r="BJ11" s="148"/>
      <c r="BK11" s="148"/>
      <c r="BL11" s="148"/>
      <c r="BM11" s="148"/>
      <c r="BN11" s="148"/>
      <c r="BO11" s="61"/>
      <c r="BP11" s="61"/>
      <c r="BQ11" s="61"/>
      <c r="BR11" s="61"/>
    </row>
    <row r="12" spans="1:70" ht="13.2" customHeight="1">
      <c r="C12" s="10"/>
      <c r="AP12" s="28"/>
      <c r="AQ12" s="11"/>
      <c r="AV12" s="148"/>
      <c r="AW12" s="148"/>
      <c r="AX12" s="148"/>
      <c r="AY12" s="148"/>
      <c r="AZ12" s="148"/>
      <c r="BA12" s="148"/>
      <c r="BB12" s="148"/>
      <c r="BC12" s="148"/>
      <c r="BD12" s="148"/>
      <c r="BE12" s="52"/>
      <c r="BF12" s="53"/>
      <c r="BG12" s="159"/>
      <c r="BH12" s="159"/>
      <c r="BI12" s="159"/>
      <c r="BJ12" s="159"/>
      <c r="BK12" s="159"/>
      <c r="BL12" s="159"/>
      <c r="BM12" s="159"/>
      <c r="BN12" s="159"/>
      <c r="BO12" s="61"/>
      <c r="BP12" s="61"/>
      <c r="BQ12" s="61"/>
      <c r="BR12" s="61"/>
    </row>
    <row r="13" spans="1:70" ht="13.2" customHeight="1">
      <c r="A13" s="14"/>
      <c r="B13" s="14"/>
      <c r="C13" s="15"/>
      <c r="D13" s="19" t="s">
        <v>24</v>
      </c>
      <c r="E13" s="28"/>
      <c r="F13" s="28"/>
      <c r="G13" s="28"/>
      <c r="H13" s="28"/>
      <c r="I13" s="28"/>
      <c r="J13" s="28"/>
      <c r="K13" s="28"/>
      <c r="L13" s="28"/>
      <c r="M13" s="28"/>
      <c r="N13" s="28"/>
      <c r="O13" s="28"/>
      <c r="P13" s="28"/>
      <c r="Q13" s="28"/>
      <c r="R13" s="28"/>
      <c r="S13" s="28"/>
      <c r="T13" s="28"/>
      <c r="AP13" s="28"/>
      <c r="AQ13" s="11"/>
      <c r="AV13" s="148"/>
      <c r="AW13" s="148"/>
      <c r="AX13" s="148"/>
      <c r="AY13" s="148"/>
      <c r="AZ13" s="148"/>
      <c r="BA13" s="148"/>
      <c r="BB13" s="148"/>
      <c r="BC13" s="148"/>
      <c r="BD13" s="148"/>
      <c r="BE13" s="52"/>
      <c r="BF13" s="53"/>
      <c r="BG13" s="161"/>
      <c r="BH13" s="161"/>
      <c r="BI13" s="161"/>
      <c r="BJ13" s="161"/>
      <c r="BK13" s="161"/>
      <c r="BL13" s="161"/>
      <c r="BM13" s="161"/>
      <c r="BN13" s="161"/>
      <c r="BO13" s="49"/>
      <c r="BP13" s="49"/>
      <c r="BQ13" s="49"/>
      <c r="BR13" s="49"/>
    </row>
    <row r="14" spans="1:70" ht="13.2" customHeight="1">
      <c r="C14" s="16"/>
      <c r="D14" s="151" t="s">
        <v>4</v>
      </c>
      <c r="E14" s="152"/>
      <c r="F14" s="152"/>
      <c r="G14" s="152"/>
      <c r="H14" s="152"/>
      <c r="I14" s="152"/>
      <c r="J14" s="152"/>
      <c r="K14" s="152"/>
      <c r="L14" s="153"/>
      <c r="M14" s="30" t="s">
        <v>29</v>
      </c>
      <c r="N14" s="31"/>
      <c r="O14" s="31"/>
      <c r="P14" s="31"/>
      <c r="Q14" s="31"/>
      <c r="R14" s="31"/>
      <c r="S14" s="31"/>
      <c r="T14" s="32"/>
      <c r="U14" s="141" t="s">
        <v>28</v>
      </c>
      <c r="V14" s="142"/>
      <c r="W14" s="142"/>
      <c r="X14" s="142"/>
      <c r="Y14" s="142"/>
      <c r="Z14" s="143"/>
      <c r="AA14" s="33" t="s">
        <v>30</v>
      </c>
      <c r="AB14" s="34"/>
      <c r="AC14" s="34"/>
      <c r="AD14" s="34"/>
      <c r="AE14" s="34"/>
      <c r="AF14" s="34"/>
      <c r="AG14" s="34"/>
      <c r="AH14" s="35"/>
      <c r="AI14" s="33" t="s">
        <v>7</v>
      </c>
      <c r="AJ14" s="34"/>
      <c r="AK14" s="34"/>
      <c r="AL14" s="34"/>
      <c r="AM14" s="34"/>
      <c r="AN14" s="34"/>
      <c r="AO14" s="35"/>
      <c r="AP14" s="28"/>
      <c r="AQ14" s="11"/>
      <c r="AV14" s="148"/>
      <c r="AW14" s="148"/>
      <c r="AX14" s="148"/>
      <c r="AY14" s="148"/>
      <c r="AZ14" s="148"/>
      <c r="BA14" s="148"/>
      <c r="BB14" s="148"/>
      <c r="BC14" s="148"/>
      <c r="BD14" s="148"/>
      <c r="BE14" s="52"/>
      <c r="BF14" s="53"/>
      <c r="BG14" s="161"/>
      <c r="BH14" s="161"/>
      <c r="BI14" s="161"/>
      <c r="BJ14" s="161"/>
      <c r="BK14" s="161"/>
      <c r="BL14" s="161"/>
      <c r="BM14" s="161"/>
      <c r="BN14" s="161"/>
      <c r="BO14" s="29"/>
      <c r="BP14" s="29"/>
      <c r="BQ14" s="29"/>
      <c r="BR14" s="29"/>
    </row>
    <row r="15" spans="1:70" ht="13.5" customHeight="1">
      <c r="C15" s="17"/>
      <c r="D15" s="154"/>
      <c r="E15" s="155"/>
      <c r="F15" s="155"/>
      <c r="G15" s="155"/>
      <c r="H15" s="155"/>
      <c r="I15" s="155"/>
      <c r="J15" s="155"/>
      <c r="K15" s="155"/>
      <c r="L15" s="156"/>
      <c r="M15" s="111" t="s">
        <v>9</v>
      </c>
      <c r="N15" s="112"/>
      <c r="O15" s="112"/>
      <c r="P15" s="112"/>
      <c r="Q15" s="112"/>
      <c r="R15" s="112"/>
      <c r="S15" s="112"/>
      <c r="T15" s="113"/>
      <c r="U15" s="144"/>
      <c r="V15" s="145"/>
      <c r="W15" s="145"/>
      <c r="X15" s="145"/>
      <c r="Y15" s="145"/>
      <c r="Z15" s="146"/>
      <c r="AA15" s="39" t="s">
        <v>10</v>
      </c>
      <c r="AB15" s="40"/>
      <c r="AC15" s="40"/>
      <c r="AD15" s="40"/>
      <c r="AE15" s="40"/>
      <c r="AF15" s="40"/>
      <c r="AG15" s="40"/>
      <c r="AH15" s="41"/>
      <c r="AI15" s="42" t="s">
        <v>8</v>
      </c>
      <c r="AJ15" s="43"/>
      <c r="AK15" s="43"/>
      <c r="AL15" s="43"/>
      <c r="AM15" s="43"/>
      <c r="AN15" s="43"/>
      <c r="AO15" s="44"/>
      <c r="AP15" s="28"/>
      <c r="AQ15" s="11"/>
      <c r="AV15" s="148"/>
      <c r="AW15" s="148"/>
      <c r="AX15" s="148"/>
      <c r="AY15" s="148"/>
      <c r="AZ15" s="148"/>
      <c r="BA15" s="148"/>
      <c r="BB15" s="148"/>
      <c r="BC15" s="148"/>
      <c r="BD15" s="148"/>
      <c r="BE15" s="52"/>
      <c r="BF15" s="54"/>
      <c r="BG15" s="161"/>
      <c r="BH15" s="161"/>
      <c r="BI15" s="161"/>
      <c r="BJ15" s="161"/>
      <c r="BK15" s="161"/>
      <c r="BL15" s="161"/>
      <c r="BM15" s="161"/>
      <c r="BN15" s="161"/>
    </row>
    <row r="16" spans="1:70" ht="13.2" customHeight="1">
      <c r="C16" s="10"/>
      <c r="D16" s="114" t="str">
        <f>IF(抽出!A2&lt;&gt;"", 抽出!A2, "")</f>
        <v>電波暗室2</v>
      </c>
      <c r="E16" s="114"/>
      <c r="F16" s="114"/>
      <c r="G16" s="114"/>
      <c r="H16" s="114"/>
      <c r="I16" s="114"/>
      <c r="J16" s="114"/>
      <c r="K16" s="114"/>
      <c r="L16" s="162"/>
      <c r="M16" s="115" t="str">
        <f>IFERROR(VLOOKUP($D16, master!$B:$H, 2,FALSE), "")</f>
        <v>日本シールドエンクロージャ</v>
      </c>
      <c r="N16" s="116"/>
      <c r="O16" s="116"/>
      <c r="P16" s="116"/>
      <c r="Q16" s="116"/>
      <c r="R16" s="116"/>
      <c r="S16" s="116"/>
      <c r="T16" s="117"/>
      <c r="U16" s="118">
        <f>IFERROR(VLOOKUP($D16, master!$B:$H, 4,FALSE), "")</f>
        <v>100011169747</v>
      </c>
      <c r="V16" s="118"/>
      <c r="W16" s="118"/>
      <c r="X16" s="118"/>
      <c r="Y16" s="118"/>
      <c r="Z16" s="119"/>
      <c r="AA16" s="123">
        <f>IFERROR(VLOOKUP($D16, master!$B:$H, 5,FALSE), "")</f>
        <v>206192</v>
      </c>
      <c r="AB16" s="124"/>
      <c r="AC16" s="124"/>
      <c r="AD16" s="124"/>
      <c r="AE16" s="124"/>
      <c r="AF16" s="124"/>
      <c r="AG16" s="124"/>
      <c r="AH16" s="125"/>
      <c r="AI16" s="126">
        <f>IFERROR(VLOOKUP($D16, master!$B:$H, 7,FALSE), "")</f>
        <v>46691</v>
      </c>
      <c r="AJ16" s="127"/>
      <c r="AK16" s="127"/>
      <c r="AL16" s="127"/>
      <c r="AM16" s="127"/>
      <c r="AN16" s="127"/>
      <c r="AO16" s="128"/>
      <c r="AP16" s="28"/>
      <c r="AQ16" s="11"/>
      <c r="AV16" s="148"/>
      <c r="AW16" s="148"/>
      <c r="AX16" s="148"/>
      <c r="AY16" s="148"/>
      <c r="AZ16" s="148"/>
      <c r="BA16" s="148"/>
      <c r="BB16" s="148"/>
      <c r="BC16" s="148"/>
      <c r="BD16" s="148"/>
      <c r="BE16" s="52"/>
      <c r="BF16" s="53"/>
      <c r="BG16" s="159"/>
      <c r="BH16" s="159"/>
      <c r="BI16" s="159"/>
      <c r="BJ16" s="159"/>
      <c r="BK16" s="159"/>
      <c r="BL16" s="159"/>
      <c r="BM16" s="159"/>
      <c r="BN16" s="159"/>
    </row>
    <row r="17" spans="1:66" ht="13.2" customHeight="1">
      <c r="C17" s="10"/>
      <c r="D17" s="114"/>
      <c r="E17" s="114"/>
      <c r="F17" s="114"/>
      <c r="G17" s="114"/>
      <c r="H17" s="114"/>
      <c r="I17" s="114"/>
      <c r="J17" s="114"/>
      <c r="K17" s="114"/>
      <c r="L17" s="114"/>
      <c r="M17" s="138" t="str">
        <f>IFERROR(VLOOKUP($D16, master!$B:$H, 3,FALSE), "")</f>
        <v>J-NP-AR型</v>
      </c>
      <c r="N17" s="139"/>
      <c r="O17" s="139"/>
      <c r="P17" s="139"/>
      <c r="Q17" s="139"/>
      <c r="R17" s="139"/>
      <c r="S17" s="139"/>
      <c r="T17" s="140"/>
      <c r="U17" s="120"/>
      <c r="V17" s="121"/>
      <c r="W17" s="121"/>
      <c r="X17" s="121"/>
      <c r="Y17" s="121"/>
      <c r="Z17" s="122"/>
      <c r="AA17" s="132" t="str">
        <f>IFERROR(VLOOKUP($D16, master!$B:$H, 6,FALSE), "")</f>
        <v>モビエレ試験評価部</v>
      </c>
      <c r="AB17" s="133"/>
      <c r="AC17" s="133"/>
      <c r="AD17" s="133"/>
      <c r="AE17" s="133"/>
      <c r="AF17" s="133"/>
      <c r="AG17" s="133"/>
      <c r="AH17" s="134"/>
      <c r="AI17" s="135" t="str">
        <f>IFERROR(VLOOKUP($D16, master!$B:$H, 8,FALSE), "")</f>
        <v/>
      </c>
      <c r="AJ17" s="136"/>
      <c r="AK17" s="136"/>
      <c r="AL17" s="136"/>
      <c r="AM17" s="136"/>
      <c r="AN17" s="136"/>
      <c r="AO17" s="137"/>
      <c r="AP17" s="28"/>
      <c r="AQ17" s="11"/>
      <c r="AV17" s="158"/>
      <c r="AW17" s="158"/>
      <c r="AX17" s="158"/>
      <c r="AY17" s="158"/>
      <c r="AZ17" s="158"/>
      <c r="BA17" s="158"/>
      <c r="BB17" s="158"/>
      <c r="BC17" s="158"/>
      <c r="BD17" s="158"/>
      <c r="BE17" s="55"/>
      <c r="BF17" s="54"/>
      <c r="BG17" s="148"/>
      <c r="BH17" s="148"/>
      <c r="BI17" s="148"/>
      <c r="BJ17" s="148"/>
      <c r="BK17" s="148"/>
      <c r="BL17" s="148"/>
      <c r="BM17" s="148"/>
      <c r="BN17" s="148"/>
    </row>
    <row r="18" spans="1:66" ht="13.5" customHeight="1">
      <c r="C18" s="17"/>
      <c r="D18" s="114" t="str">
        <f>IF(抽出!A3&lt;&gt;"", 抽出!A3, "")</f>
        <v>EMIテストレシーバ</v>
      </c>
      <c r="E18" s="114"/>
      <c r="F18" s="114"/>
      <c r="G18" s="114"/>
      <c r="H18" s="114"/>
      <c r="I18" s="114"/>
      <c r="J18" s="114"/>
      <c r="K18" s="114"/>
      <c r="L18" s="114"/>
      <c r="M18" s="115" t="str">
        <f>IFERROR(VLOOKUP($D18, master!$B:$H, 2,FALSE), "")</f>
        <v>ROHDE＆SCHWARZ</v>
      </c>
      <c r="N18" s="116"/>
      <c r="O18" s="116"/>
      <c r="P18" s="116"/>
      <c r="Q18" s="116"/>
      <c r="R18" s="116"/>
      <c r="S18" s="116"/>
      <c r="T18" s="117"/>
      <c r="U18" s="118">
        <f>IFERROR(VLOOKUP($D18, master!$B:$H, 4,FALSE), "")</f>
        <v>100011154974</v>
      </c>
      <c r="V18" s="118"/>
      <c r="W18" s="118"/>
      <c r="X18" s="118"/>
      <c r="Y18" s="118"/>
      <c r="Z18" s="119"/>
      <c r="AA18" s="123" t="str">
        <f>IFERROR(VLOOKUP($D18, master!$B:$H, 5,FALSE), "")</f>
        <v>SXZS5050</v>
      </c>
      <c r="AB18" s="124"/>
      <c r="AC18" s="124"/>
      <c r="AD18" s="124"/>
      <c r="AE18" s="124"/>
      <c r="AF18" s="124"/>
      <c r="AG18" s="124"/>
      <c r="AH18" s="125"/>
      <c r="AI18" s="126">
        <f>IFERROR(VLOOKUP($D18, master!$B:$H, 7,FALSE), "")</f>
        <v>46418</v>
      </c>
      <c r="AJ18" s="127"/>
      <c r="AK18" s="127"/>
      <c r="AL18" s="127"/>
      <c r="AM18" s="127"/>
      <c r="AN18" s="127"/>
      <c r="AO18" s="128"/>
      <c r="AP18" s="28"/>
      <c r="AQ18" s="11"/>
      <c r="AV18" s="158"/>
      <c r="AW18" s="158"/>
      <c r="AX18" s="158"/>
      <c r="AY18" s="158"/>
      <c r="AZ18" s="158"/>
      <c r="BA18" s="158"/>
      <c r="BB18" s="158"/>
      <c r="BC18" s="158"/>
      <c r="BD18" s="158"/>
      <c r="BE18" s="56"/>
      <c r="BF18" s="54"/>
      <c r="BG18" s="148"/>
      <c r="BH18" s="148"/>
      <c r="BI18" s="148"/>
      <c r="BJ18" s="148"/>
      <c r="BK18" s="148"/>
      <c r="BL18" s="148"/>
      <c r="BM18" s="148"/>
      <c r="BN18" s="148"/>
    </row>
    <row r="19" spans="1:66" ht="13.5" customHeight="1">
      <c r="C19" s="10"/>
      <c r="D19" s="114"/>
      <c r="E19" s="114"/>
      <c r="F19" s="114"/>
      <c r="G19" s="114"/>
      <c r="H19" s="114"/>
      <c r="I19" s="114"/>
      <c r="J19" s="114"/>
      <c r="K19" s="114"/>
      <c r="L19" s="114"/>
      <c r="M19" s="138" t="str">
        <f>IFERROR(VLOOKUP($D18, master!$B:$H, 3,FALSE), "")</f>
        <v>ESW8</v>
      </c>
      <c r="N19" s="139"/>
      <c r="O19" s="139"/>
      <c r="P19" s="139"/>
      <c r="Q19" s="139"/>
      <c r="R19" s="139"/>
      <c r="S19" s="139"/>
      <c r="T19" s="140"/>
      <c r="U19" s="120"/>
      <c r="V19" s="121"/>
      <c r="W19" s="121"/>
      <c r="X19" s="121"/>
      <c r="Y19" s="121"/>
      <c r="Z19" s="122"/>
      <c r="AA19" s="132" t="str">
        <f>IFERROR(VLOOKUP($D18, master!$B:$H, 6,FALSE), "")</f>
        <v>モビエレ試験評価部</v>
      </c>
      <c r="AB19" s="133"/>
      <c r="AC19" s="133"/>
      <c r="AD19" s="133"/>
      <c r="AE19" s="133"/>
      <c r="AF19" s="133"/>
      <c r="AG19" s="133"/>
      <c r="AH19" s="134"/>
      <c r="AI19" s="135" t="str">
        <f>IFERROR(VLOOKUP($D18, master!$B:$H, 8,FALSE), "")</f>
        <v/>
      </c>
      <c r="AJ19" s="136"/>
      <c r="AK19" s="136"/>
      <c r="AL19" s="136"/>
      <c r="AM19" s="136"/>
      <c r="AN19" s="136"/>
      <c r="AO19" s="137"/>
      <c r="AP19" s="28"/>
      <c r="AQ19" s="11"/>
      <c r="AV19" s="158"/>
      <c r="AW19" s="158"/>
      <c r="AX19" s="158"/>
      <c r="AY19" s="158"/>
      <c r="AZ19" s="158"/>
      <c r="BA19" s="158"/>
      <c r="BB19" s="158"/>
      <c r="BC19" s="158"/>
      <c r="BD19" s="158"/>
      <c r="BE19" s="56"/>
      <c r="BF19" s="54"/>
      <c r="BG19" s="148"/>
      <c r="BH19" s="148"/>
      <c r="BI19" s="148"/>
      <c r="BJ19" s="148"/>
      <c r="BK19" s="148"/>
      <c r="BL19" s="148"/>
      <c r="BM19" s="148"/>
      <c r="BN19" s="148"/>
    </row>
    <row r="20" spans="1:66" ht="13.5" customHeight="1">
      <c r="C20" s="10"/>
      <c r="D20" s="114" t="str">
        <f>IF(抽出!A4&lt;&gt;"", 抽出!A6, "")</f>
        <v>バイコニカルアンテナ</v>
      </c>
      <c r="E20" s="114"/>
      <c r="F20" s="114"/>
      <c r="G20" s="114"/>
      <c r="H20" s="114"/>
      <c r="I20" s="114"/>
      <c r="J20" s="114"/>
      <c r="K20" s="114"/>
      <c r="L20" s="114"/>
      <c r="M20" s="115" t="str">
        <f>IFERROR(VLOOKUP($D20, master!$B:$H, 2,FALSE), "")</f>
        <v>SCHWARZBECK</v>
      </c>
      <c r="N20" s="116"/>
      <c r="O20" s="116"/>
      <c r="P20" s="116"/>
      <c r="Q20" s="116"/>
      <c r="R20" s="116"/>
      <c r="S20" s="116"/>
      <c r="T20" s="117"/>
      <c r="U20" s="118">
        <f>IFERROR(VLOOKUP($D20, master!$B:$H, 4,FALSE), "")</f>
        <v>100010229316</v>
      </c>
      <c r="V20" s="118"/>
      <c r="W20" s="118"/>
      <c r="X20" s="118"/>
      <c r="Y20" s="118"/>
      <c r="Z20" s="119"/>
      <c r="AA20" s="123" t="str">
        <f>IFERROR(VLOOKUP($D20, master!$B:$H, 5,FALSE), "")</f>
        <v>S ZS3471</v>
      </c>
      <c r="AB20" s="124"/>
      <c r="AC20" s="124"/>
      <c r="AD20" s="124"/>
      <c r="AE20" s="124"/>
      <c r="AF20" s="124"/>
      <c r="AG20" s="124"/>
      <c r="AH20" s="125"/>
      <c r="AI20" s="126">
        <f>IFERROR(VLOOKUP($D20, master!$B:$H, 7,FALSE), "")</f>
        <v>46387</v>
      </c>
      <c r="AJ20" s="127"/>
      <c r="AK20" s="127"/>
      <c r="AL20" s="127"/>
      <c r="AM20" s="127"/>
      <c r="AN20" s="127"/>
      <c r="AO20" s="128"/>
      <c r="AP20" s="28"/>
      <c r="AQ20" s="11"/>
      <c r="AV20" s="158"/>
      <c r="AW20" s="158"/>
      <c r="AX20" s="158"/>
      <c r="AY20" s="158"/>
      <c r="AZ20" s="158"/>
      <c r="BA20" s="158"/>
      <c r="BB20" s="158"/>
      <c r="BC20" s="158"/>
      <c r="BD20" s="158"/>
      <c r="BE20" s="56"/>
      <c r="BF20" s="54"/>
      <c r="BG20" s="148"/>
      <c r="BH20" s="148"/>
      <c r="BI20" s="148"/>
      <c r="BJ20" s="148"/>
      <c r="BK20" s="148"/>
      <c r="BL20" s="148"/>
      <c r="BM20" s="148"/>
      <c r="BN20" s="148"/>
    </row>
    <row r="21" spans="1:66" ht="13.5" customHeight="1">
      <c r="C21" s="10"/>
      <c r="D21" s="114"/>
      <c r="E21" s="114"/>
      <c r="F21" s="114"/>
      <c r="G21" s="114"/>
      <c r="H21" s="114"/>
      <c r="I21" s="114"/>
      <c r="J21" s="114"/>
      <c r="K21" s="114"/>
      <c r="L21" s="114"/>
      <c r="M21" s="138" t="str">
        <f>IFERROR(VLOOKUP($D20, master!$B:$H, 3,FALSE), "")</f>
        <v>BBA9106+VHA9103</v>
      </c>
      <c r="N21" s="139"/>
      <c r="O21" s="139"/>
      <c r="P21" s="139"/>
      <c r="Q21" s="139"/>
      <c r="R21" s="139"/>
      <c r="S21" s="139"/>
      <c r="T21" s="140"/>
      <c r="U21" s="120"/>
      <c r="V21" s="121"/>
      <c r="W21" s="121"/>
      <c r="X21" s="121"/>
      <c r="Y21" s="121"/>
      <c r="Z21" s="122"/>
      <c r="AA21" s="132" t="str">
        <f>IFERROR(VLOOKUP($D20, master!$B:$H, 6,FALSE), "")</f>
        <v>モビエレ試験評価部</v>
      </c>
      <c r="AB21" s="133"/>
      <c r="AC21" s="133"/>
      <c r="AD21" s="133"/>
      <c r="AE21" s="133"/>
      <c r="AF21" s="133"/>
      <c r="AG21" s="133"/>
      <c r="AH21" s="134"/>
      <c r="AI21" s="135" t="str">
        <f>IFERROR(VLOOKUP($D20, master!$B:$H, 8,FALSE), "")</f>
        <v/>
      </c>
      <c r="AJ21" s="136"/>
      <c r="AK21" s="136"/>
      <c r="AL21" s="136"/>
      <c r="AM21" s="136"/>
      <c r="AN21" s="136"/>
      <c r="AO21" s="137"/>
      <c r="AP21" s="28"/>
      <c r="AQ21" s="11"/>
      <c r="AV21" s="158"/>
      <c r="AW21" s="158"/>
      <c r="AX21" s="158"/>
      <c r="AY21" s="158"/>
      <c r="AZ21" s="158"/>
      <c r="BA21" s="158"/>
      <c r="BB21" s="158"/>
      <c r="BC21" s="158"/>
      <c r="BD21" s="158"/>
      <c r="BE21" s="56"/>
      <c r="BF21" s="54"/>
      <c r="BG21" s="148"/>
      <c r="BH21" s="148"/>
      <c r="BI21" s="148"/>
      <c r="BJ21" s="148"/>
      <c r="BK21" s="148"/>
      <c r="BL21" s="148"/>
      <c r="BM21" s="148"/>
      <c r="BN21" s="148"/>
    </row>
    <row r="22" spans="1:66" ht="13.2" customHeight="1">
      <c r="C22" s="10"/>
      <c r="D22" s="114" t="str">
        <f>IF(抽出!A8&lt;&gt;"", 抽出!A4, "")</f>
        <v>スペクトラムアナライザ</v>
      </c>
      <c r="E22" s="114"/>
      <c r="F22" s="114"/>
      <c r="G22" s="114"/>
      <c r="H22" s="114"/>
      <c r="I22" s="114"/>
      <c r="J22" s="114"/>
      <c r="K22" s="114"/>
      <c r="L22" s="114"/>
      <c r="M22" s="115" t="str">
        <f>IFERROR(VLOOKUP($D22, master!$B:$H, 2,FALSE), "")</f>
        <v>Agilent Technologies</v>
      </c>
      <c r="N22" s="116"/>
      <c r="O22" s="116"/>
      <c r="P22" s="116"/>
      <c r="Q22" s="116"/>
      <c r="R22" s="116"/>
      <c r="S22" s="116"/>
      <c r="T22" s="117"/>
      <c r="U22" s="118">
        <f>IFERROR(VLOOKUP($D22, master!$B:$H, 4,FALSE), "")</f>
        <v>100011224401</v>
      </c>
      <c r="V22" s="118"/>
      <c r="W22" s="118"/>
      <c r="X22" s="118"/>
      <c r="Y22" s="118"/>
      <c r="Z22" s="119"/>
      <c r="AA22" s="123" t="str">
        <f>IFERROR(VLOOKUP($D22, master!$B:$H, 5,FALSE), "")</f>
        <v>SXSA1780</v>
      </c>
      <c r="AB22" s="124"/>
      <c r="AC22" s="124"/>
      <c r="AD22" s="124"/>
      <c r="AE22" s="124"/>
      <c r="AF22" s="124"/>
      <c r="AG22" s="124"/>
      <c r="AH22" s="125"/>
      <c r="AI22" s="126">
        <f>IFERROR(VLOOKUP($D22, master!$B:$H, 7,FALSE), "")</f>
        <v>46418</v>
      </c>
      <c r="AJ22" s="127"/>
      <c r="AK22" s="127"/>
      <c r="AL22" s="127"/>
      <c r="AM22" s="127"/>
      <c r="AN22" s="127"/>
      <c r="AO22" s="128"/>
      <c r="AP22" s="28"/>
      <c r="AQ22" s="11"/>
      <c r="AV22" s="158"/>
      <c r="AW22" s="158"/>
      <c r="AX22" s="158"/>
      <c r="AY22" s="158"/>
      <c r="AZ22" s="158"/>
      <c r="BA22" s="158"/>
      <c r="BB22" s="158"/>
      <c r="BC22" s="158"/>
      <c r="BD22" s="158"/>
      <c r="BE22" s="55"/>
      <c r="BF22" s="54"/>
      <c r="BG22" s="148"/>
      <c r="BH22" s="148"/>
      <c r="BI22" s="148"/>
      <c r="BJ22" s="148"/>
      <c r="BK22" s="148"/>
      <c r="BL22" s="148"/>
      <c r="BM22" s="148"/>
      <c r="BN22" s="148"/>
    </row>
    <row r="23" spans="1:66" ht="13.5" customHeight="1">
      <c r="C23" s="10"/>
      <c r="D23" s="114"/>
      <c r="E23" s="114"/>
      <c r="F23" s="114"/>
      <c r="G23" s="114"/>
      <c r="H23" s="114"/>
      <c r="I23" s="114"/>
      <c r="J23" s="114"/>
      <c r="K23" s="114"/>
      <c r="L23" s="114"/>
      <c r="M23" s="138" t="str">
        <f>IFERROR(VLOOKUP($D22, master!$B:$H, 3,FALSE), "")</f>
        <v>N9020A</v>
      </c>
      <c r="N23" s="139"/>
      <c r="O23" s="139"/>
      <c r="P23" s="139"/>
      <c r="Q23" s="139"/>
      <c r="R23" s="139"/>
      <c r="S23" s="139"/>
      <c r="T23" s="140"/>
      <c r="U23" s="120"/>
      <c r="V23" s="121"/>
      <c r="W23" s="121"/>
      <c r="X23" s="121"/>
      <c r="Y23" s="121"/>
      <c r="Z23" s="122"/>
      <c r="AA23" s="132" t="str">
        <f>IFERROR(VLOOKUP($D22, master!$B:$H, 6,FALSE), "")</f>
        <v>モビエレ試験評価部</v>
      </c>
      <c r="AB23" s="133"/>
      <c r="AC23" s="133"/>
      <c r="AD23" s="133"/>
      <c r="AE23" s="133"/>
      <c r="AF23" s="133"/>
      <c r="AG23" s="133"/>
      <c r="AH23" s="134"/>
      <c r="AI23" s="135" t="str">
        <f>IFERROR(VLOOKUP($D22, master!$B:$H, 8,FALSE), "")</f>
        <v/>
      </c>
      <c r="AJ23" s="136"/>
      <c r="AK23" s="136"/>
      <c r="AL23" s="136"/>
      <c r="AM23" s="136"/>
      <c r="AN23" s="136"/>
      <c r="AO23" s="137"/>
      <c r="AP23" s="28"/>
      <c r="AQ23" s="11"/>
      <c r="AV23" s="149"/>
      <c r="AW23" s="149"/>
      <c r="AX23" s="149"/>
      <c r="AY23" s="149"/>
      <c r="AZ23" s="149"/>
      <c r="BA23" s="149"/>
      <c r="BB23" s="149"/>
      <c r="BC23" s="149"/>
      <c r="BD23" s="149"/>
      <c r="BE23" s="56"/>
      <c r="BF23" s="54"/>
      <c r="BG23" s="148"/>
      <c r="BH23" s="148"/>
      <c r="BI23" s="148"/>
      <c r="BJ23" s="148"/>
      <c r="BK23" s="148"/>
      <c r="BL23" s="148"/>
      <c r="BM23" s="148"/>
      <c r="BN23" s="148"/>
    </row>
    <row r="24" spans="1:66" ht="13.5" customHeight="1">
      <c r="A24" s="14"/>
      <c r="B24" s="14"/>
      <c r="C24" s="16"/>
      <c r="D24" s="114" t="str">
        <f>IF(抽出!A5&lt;&gt;"", 抽出!A5, "")</f>
        <v>アクティブロッドアンテナ</v>
      </c>
      <c r="E24" s="114"/>
      <c r="F24" s="114"/>
      <c r="G24" s="114"/>
      <c r="H24" s="114"/>
      <c r="I24" s="114"/>
      <c r="J24" s="114"/>
      <c r="K24" s="114"/>
      <c r="L24" s="114"/>
      <c r="M24" s="115" t="str">
        <f>IFERROR(VLOOKUP($D24, master!$B:$H, 2,FALSE), "")</f>
        <v>ETS・LINDGREN</v>
      </c>
      <c r="N24" s="116"/>
      <c r="O24" s="116"/>
      <c r="P24" s="116"/>
      <c r="Q24" s="116"/>
      <c r="R24" s="116"/>
      <c r="S24" s="116"/>
      <c r="T24" s="117"/>
      <c r="U24" s="118">
        <f>IFERROR(VLOOKUP($D24, master!$B:$H, 4,FALSE), "")</f>
        <v>100011038580</v>
      </c>
      <c r="V24" s="118"/>
      <c r="W24" s="118"/>
      <c r="X24" s="118"/>
      <c r="Y24" s="118"/>
      <c r="Z24" s="119"/>
      <c r="AA24" s="123" t="str">
        <f>IFERROR(VLOOKUP($D24, master!$B:$H, 5,FALSE), "")</f>
        <v>S ZS4319</v>
      </c>
      <c r="AB24" s="124"/>
      <c r="AC24" s="124"/>
      <c r="AD24" s="124"/>
      <c r="AE24" s="124"/>
      <c r="AF24" s="124"/>
      <c r="AG24" s="124"/>
      <c r="AH24" s="125"/>
      <c r="AI24" s="126">
        <f>IFERROR(VLOOKUP($D24, master!$B:$H, 7,FALSE), "")</f>
        <v>46173</v>
      </c>
      <c r="AJ24" s="127"/>
      <c r="AK24" s="127"/>
      <c r="AL24" s="127"/>
      <c r="AM24" s="127"/>
      <c r="AN24" s="127"/>
      <c r="AO24" s="128"/>
      <c r="AP24" s="28"/>
      <c r="AQ24" s="11"/>
      <c r="AV24" s="149"/>
      <c r="AW24" s="149"/>
      <c r="AX24" s="149"/>
      <c r="AY24" s="149"/>
      <c r="AZ24" s="149"/>
      <c r="BA24" s="149"/>
      <c r="BB24" s="149"/>
      <c r="BC24" s="149"/>
      <c r="BD24" s="149"/>
      <c r="BE24" s="55"/>
      <c r="BF24" s="54"/>
      <c r="BG24" s="148"/>
      <c r="BH24" s="148"/>
      <c r="BI24" s="148"/>
      <c r="BJ24" s="148"/>
      <c r="BK24" s="148"/>
      <c r="BL24" s="148"/>
      <c r="BM24" s="148"/>
      <c r="BN24" s="148"/>
    </row>
    <row r="25" spans="1:66" ht="13.5" customHeight="1">
      <c r="C25" s="10"/>
      <c r="D25" s="114"/>
      <c r="E25" s="114"/>
      <c r="F25" s="114"/>
      <c r="G25" s="114"/>
      <c r="H25" s="114"/>
      <c r="I25" s="114"/>
      <c r="J25" s="114"/>
      <c r="K25" s="114"/>
      <c r="L25" s="114"/>
      <c r="M25" s="138" t="str">
        <f>IFERROR(VLOOKUP($D24, master!$B:$H, 3,FALSE), "")</f>
        <v>3301C</v>
      </c>
      <c r="N25" s="139"/>
      <c r="O25" s="139"/>
      <c r="P25" s="139"/>
      <c r="Q25" s="139"/>
      <c r="R25" s="139"/>
      <c r="S25" s="139"/>
      <c r="T25" s="140"/>
      <c r="U25" s="120"/>
      <c r="V25" s="121"/>
      <c r="W25" s="121"/>
      <c r="X25" s="121"/>
      <c r="Y25" s="121"/>
      <c r="Z25" s="122"/>
      <c r="AA25" s="132" t="str">
        <f>IFERROR(VLOOKUP($D24, master!$B:$H, 6,FALSE), "")</f>
        <v>モビエレ試験評価部</v>
      </c>
      <c r="AB25" s="133"/>
      <c r="AC25" s="133"/>
      <c r="AD25" s="133"/>
      <c r="AE25" s="133"/>
      <c r="AF25" s="133"/>
      <c r="AG25" s="133"/>
      <c r="AH25" s="134"/>
      <c r="AI25" s="135" t="str">
        <f>IFERROR(VLOOKUP($D24, master!$B:$H, 8,FALSE), "")</f>
        <v/>
      </c>
      <c r="AJ25" s="136"/>
      <c r="AK25" s="136"/>
      <c r="AL25" s="136"/>
      <c r="AM25" s="136"/>
      <c r="AN25" s="136"/>
      <c r="AO25" s="137"/>
      <c r="AP25" s="28"/>
      <c r="AQ25" s="11"/>
      <c r="AV25" s="149"/>
      <c r="AW25" s="149"/>
      <c r="AX25" s="149"/>
      <c r="AY25" s="149"/>
      <c r="AZ25" s="149"/>
      <c r="BA25" s="149"/>
      <c r="BB25" s="149"/>
      <c r="BC25" s="149"/>
      <c r="BD25" s="149"/>
      <c r="BE25" s="55"/>
      <c r="BF25" s="54"/>
      <c r="BG25" s="148"/>
      <c r="BH25" s="148"/>
      <c r="BI25" s="148"/>
      <c r="BJ25" s="148"/>
      <c r="BK25" s="148"/>
      <c r="BL25" s="148"/>
      <c r="BM25" s="148"/>
      <c r="BN25" s="148"/>
    </row>
    <row r="26" spans="1:66" ht="13.5" customHeight="1">
      <c r="C26" s="10"/>
      <c r="D26" s="114" t="str">
        <f>IF(抽出!A6&lt;&gt;"", 抽出!A6, "")</f>
        <v>バイコニカルアンテナ</v>
      </c>
      <c r="E26" s="114"/>
      <c r="F26" s="114"/>
      <c r="G26" s="114"/>
      <c r="H26" s="114"/>
      <c r="I26" s="114"/>
      <c r="J26" s="114"/>
      <c r="K26" s="114"/>
      <c r="L26" s="114"/>
      <c r="M26" s="115" t="str">
        <f>IFERROR(VLOOKUP($D26, master!$B:$H, 2,FALSE), "")</f>
        <v>SCHWARZBECK</v>
      </c>
      <c r="N26" s="116"/>
      <c r="O26" s="116"/>
      <c r="P26" s="116"/>
      <c r="Q26" s="116"/>
      <c r="R26" s="116"/>
      <c r="S26" s="116"/>
      <c r="T26" s="117"/>
      <c r="U26" s="118">
        <f>IFERROR(VLOOKUP($D26, master!$B:$H, 4,FALSE), "")</f>
        <v>100010229316</v>
      </c>
      <c r="V26" s="118"/>
      <c r="W26" s="118"/>
      <c r="X26" s="118"/>
      <c r="Y26" s="118"/>
      <c r="Z26" s="119"/>
      <c r="AA26" s="123" t="str">
        <f>IFERROR(VLOOKUP($D26, master!$B:$H, 5,FALSE), "")</f>
        <v>S ZS3471</v>
      </c>
      <c r="AB26" s="124"/>
      <c r="AC26" s="124"/>
      <c r="AD26" s="124"/>
      <c r="AE26" s="124"/>
      <c r="AF26" s="124"/>
      <c r="AG26" s="124"/>
      <c r="AH26" s="125"/>
      <c r="AI26" s="126">
        <f>IFERROR(VLOOKUP($D26, master!$B:$H, 7,FALSE), "")</f>
        <v>46387</v>
      </c>
      <c r="AJ26" s="127"/>
      <c r="AK26" s="127"/>
      <c r="AL26" s="127"/>
      <c r="AM26" s="127"/>
      <c r="AN26" s="127"/>
      <c r="AO26" s="128"/>
      <c r="AP26" s="28"/>
      <c r="AQ26" s="11"/>
      <c r="AV26" s="149"/>
      <c r="AW26" s="149"/>
      <c r="AX26" s="149"/>
      <c r="AY26" s="149"/>
      <c r="AZ26" s="149"/>
      <c r="BA26" s="149"/>
      <c r="BB26" s="149"/>
      <c r="BC26" s="149"/>
      <c r="BD26" s="149"/>
      <c r="BE26" s="56"/>
      <c r="BF26" s="54"/>
      <c r="BG26" s="148"/>
      <c r="BH26" s="148"/>
      <c r="BI26" s="148"/>
      <c r="BJ26" s="148"/>
      <c r="BK26" s="148"/>
      <c r="BL26" s="148"/>
      <c r="BM26" s="148"/>
      <c r="BN26" s="148"/>
    </row>
    <row r="27" spans="1:66" ht="13.5" customHeight="1">
      <c r="A27" s="18"/>
      <c r="C27" s="17"/>
      <c r="D27" s="114"/>
      <c r="E27" s="114"/>
      <c r="F27" s="114"/>
      <c r="G27" s="114"/>
      <c r="H27" s="114"/>
      <c r="I27" s="114"/>
      <c r="J27" s="114"/>
      <c r="K27" s="114"/>
      <c r="L27" s="114"/>
      <c r="M27" s="138" t="str">
        <f>IFERROR(VLOOKUP($D26, master!$B:$H, 3,FALSE), "")</f>
        <v>BBA9106+VHA9103</v>
      </c>
      <c r="N27" s="139"/>
      <c r="O27" s="139"/>
      <c r="P27" s="139"/>
      <c r="Q27" s="139"/>
      <c r="R27" s="139"/>
      <c r="S27" s="139"/>
      <c r="T27" s="140"/>
      <c r="U27" s="120"/>
      <c r="V27" s="121"/>
      <c r="W27" s="121"/>
      <c r="X27" s="121"/>
      <c r="Y27" s="121"/>
      <c r="Z27" s="122"/>
      <c r="AA27" s="132" t="str">
        <f>IFERROR(VLOOKUP($D26, master!$B:$H, 6,FALSE), "")</f>
        <v>モビエレ試験評価部</v>
      </c>
      <c r="AB27" s="133"/>
      <c r="AC27" s="133"/>
      <c r="AD27" s="133"/>
      <c r="AE27" s="133"/>
      <c r="AF27" s="133"/>
      <c r="AG27" s="133"/>
      <c r="AH27" s="134"/>
      <c r="AI27" s="135" t="str">
        <f>IFERROR(VLOOKUP($D26, master!$B:$H, 8,FALSE), "")</f>
        <v/>
      </c>
      <c r="AJ27" s="136"/>
      <c r="AK27" s="136"/>
      <c r="AL27" s="136"/>
      <c r="AM27" s="136"/>
      <c r="AN27" s="136"/>
      <c r="AO27" s="137"/>
      <c r="AQ27" s="11"/>
      <c r="AV27" s="149"/>
      <c r="AW27" s="149"/>
      <c r="AX27" s="149"/>
      <c r="AY27" s="149"/>
      <c r="AZ27" s="149"/>
      <c r="BA27" s="149"/>
      <c r="BB27" s="149"/>
      <c r="BC27" s="149"/>
      <c r="BD27" s="149"/>
      <c r="BE27" s="55"/>
      <c r="BF27" s="54"/>
      <c r="BG27" s="148"/>
      <c r="BH27" s="148"/>
      <c r="BI27" s="148"/>
      <c r="BJ27" s="148"/>
      <c r="BK27" s="148"/>
      <c r="BL27" s="148"/>
      <c r="BM27" s="148"/>
      <c r="BN27" s="148"/>
    </row>
    <row r="28" spans="1:66" ht="13.2" customHeight="1">
      <c r="C28" s="10"/>
      <c r="D28" s="114" t="str">
        <f>IF(抽出!A7&lt;&gt;"", 抽出!A7, "")</f>
        <v>ログペリオディックアンテナ</v>
      </c>
      <c r="E28" s="114"/>
      <c r="F28" s="114"/>
      <c r="G28" s="114"/>
      <c r="H28" s="114"/>
      <c r="I28" s="114"/>
      <c r="J28" s="114"/>
      <c r="K28" s="114"/>
      <c r="L28" s="114"/>
      <c r="M28" s="115" t="str">
        <f>IFERROR(VLOOKUP($D28, master!$B:$H, 2,FALSE), "")</f>
        <v>協立電子工業</v>
      </c>
      <c r="N28" s="116"/>
      <c r="O28" s="116"/>
      <c r="P28" s="116"/>
      <c r="Q28" s="116"/>
      <c r="R28" s="116"/>
      <c r="S28" s="116"/>
      <c r="T28" s="117"/>
      <c r="U28" s="118">
        <f>IFERROR(VLOOKUP($D28, master!$B:$H, 4,FALSE), "")</f>
        <v>100010221941</v>
      </c>
      <c r="V28" s="118"/>
      <c r="W28" s="118"/>
      <c r="X28" s="118"/>
      <c r="Y28" s="118"/>
      <c r="Z28" s="119"/>
      <c r="AA28" s="123" t="str">
        <f>IFERROR(VLOOKUP($D28, master!$B:$H, 5,FALSE), "")</f>
        <v>S ZS3472</v>
      </c>
      <c r="AB28" s="124"/>
      <c r="AC28" s="124"/>
      <c r="AD28" s="124"/>
      <c r="AE28" s="124"/>
      <c r="AF28" s="124"/>
      <c r="AG28" s="124"/>
      <c r="AH28" s="125"/>
      <c r="AI28" s="126">
        <f>IFERROR(VLOOKUP($D28, master!$B:$H, 7,FALSE), "")</f>
        <v>46387</v>
      </c>
      <c r="AJ28" s="127"/>
      <c r="AK28" s="127"/>
      <c r="AL28" s="127"/>
      <c r="AM28" s="127"/>
      <c r="AN28" s="127"/>
      <c r="AO28" s="128"/>
      <c r="AQ28" s="11"/>
      <c r="AV28" s="149"/>
      <c r="AW28" s="149"/>
      <c r="AX28" s="149"/>
      <c r="AY28" s="149"/>
      <c r="AZ28" s="149"/>
      <c r="BA28" s="149"/>
      <c r="BB28" s="149"/>
      <c r="BC28" s="149"/>
      <c r="BD28" s="149"/>
      <c r="BE28" s="57"/>
      <c r="BF28" s="54"/>
      <c r="BG28" s="148"/>
      <c r="BH28" s="148"/>
      <c r="BI28" s="148"/>
      <c r="BJ28" s="148"/>
      <c r="BK28" s="148"/>
      <c r="BL28" s="148"/>
      <c r="BM28" s="148"/>
      <c r="BN28" s="148"/>
    </row>
    <row r="29" spans="1:66" ht="13.5" customHeight="1">
      <c r="C29" s="10"/>
      <c r="D29" s="114"/>
      <c r="E29" s="114"/>
      <c r="F29" s="114"/>
      <c r="G29" s="114"/>
      <c r="H29" s="114"/>
      <c r="I29" s="114"/>
      <c r="J29" s="114"/>
      <c r="K29" s="114"/>
      <c r="L29" s="114"/>
      <c r="M29" s="138" t="str">
        <f>IFERROR(VLOOKUP($D28, master!$B:$H, 3,FALSE), "")</f>
        <v>KBA-623</v>
      </c>
      <c r="N29" s="139"/>
      <c r="O29" s="139"/>
      <c r="P29" s="139"/>
      <c r="Q29" s="139"/>
      <c r="R29" s="139"/>
      <c r="S29" s="139"/>
      <c r="T29" s="140"/>
      <c r="U29" s="120"/>
      <c r="V29" s="121"/>
      <c r="W29" s="121"/>
      <c r="X29" s="121"/>
      <c r="Y29" s="121"/>
      <c r="Z29" s="122"/>
      <c r="AA29" s="132" t="str">
        <f>IFERROR(VLOOKUP($D28, master!$B:$H, 6,FALSE), "")</f>
        <v>モビエレ試験評価部</v>
      </c>
      <c r="AB29" s="133"/>
      <c r="AC29" s="133"/>
      <c r="AD29" s="133"/>
      <c r="AE29" s="133"/>
      <c r="AF29" s="133"/>
      <c r="AG29" s="133"/>
      <c r="AH29" s="134"/>
      <c r="AI29" s="135" t="str">
        <f>IFERROR(VLOOKUP($D28, master!$B:$H, 8,FALSE), "")</f>
        <v/>
      </c>
      <c r="AJ29" s="136"/>
      <c r="AK29" s="136"/>
      <c r="AL29" s="136"/>
      <c r="AM29" s="136"/>
      <c r="AN29" s="136"/>
      <c r="AO29" s="137"/>
      <c r="AQ29" s="11"/>
      <c r="AV29" s="149"/>
      <c r="AW29" s="149"/>
      <c r="AX29" s="149"/>
      <c r="AY29" s="149"/>
      <c r="AZ29" s="149"/>
      <c r="BA29" s="149"/>
      <c r="BB29" s="149"/>
      <c r="BC29" s="149"/>
      <c r="BD29" s="149"/>
      <c r="BE29" s="58"/>
      <c r="BF29" s="54"/>
      <c r="BG29" s="148"/>
      <c r="BH29" s="148"/>
      <c r="BI29" s="148"/>
      <c r="BJ29" s="148"/>
      <c r="BK29" s="148"/>
      <c r="BL29" s="148"/>
      <c r="BM29" s="148"/>
      <c r="BN29" s="148"/>
    </row>
    <row r="30" spans="1:66" ht="13.5" customHeight="1">
      <c r="C30" s="10"/>
      <c r="D30" s="114" t="str">
        <f>IF(抽出!A8&lt;&gt;"", 抽出!A8, "")</f>
        <v>ダブルリッジホーンアンテナ[ BBHA ]</v>
      </c>
      <c r="E30" s="114"/>
      <c r="F30" s="114"/>
      <c r="G30" s="114"/>
      <c r="H30" s="114"/>
      <c r="I30" s="114"/>
      <c r="J30" s="114"/>
      <c r="K30" s="114"/>
      <c r="L30" s="114"/>
      <c r="M30" s="115" t="str">
        <f>IFERROR(VLOOKUP($D30, master!$B:$H, 2,FALSE), "")</f>
        <v>SCHWARZBECK</v>
      </c>
      <c r="N30" s="116"/>
      <c r="O30" s="116"/>
      <c r="P30" s="116"/>
      <c r="Q30" s="116"/>
      <c r="R30" s="116"/>
      <c r="S30" s="116"/>
      <c r="T30" s="117"/>
      <c r="U30" s="118">
        <f>IFERROR(VLOOKUP($D30, master!$B:$H, 4,FALSE), "")</f>
        <v>100011177498</v>
      </c>
      <c r="V30" s="118"/>
      <c r="W30" s="118"/>
      <c r="X30" s="118"/>
      <c r="Y30" s="118"/>
      <c r="Z30" s="119"/>
      <c r="AA30" s="123" t="str">
        <f>IFERROR(VLOOKUP($D30, master!$B:$H, 5,FALSE), "")</f>
        <v>SXZS5191</v>
      </c>
      <c r="AB30" s="124"/>
      <c r="AC30" s="124"/>
      <c r="AD30" s="124"/>
      <c r="AE30" s="124"/>
      <c r="AF30" s="124"/>
      <c r="AG30" s="124"/>
      <c r="AH30" s="125"/>
      <c r="AI30" s="126">
        <f>IFERROR(VLOOKUP($D30, master!$B:$H, 7,FALSE), "")</f>
        <v>46387</v>
      </c>
      <c r="AJ30" s="127"/>
      <c r="AK30" s="127"/>
      <c r="AL30" s="127"/>
      <c r="AM30" s="127"/>
      <c r="AN30" s="127"/>
      <c r="AO30" s="128"/>
      <c r="AQ30" s="11"/>
      <c r="AV30" s="149"/>
      <c r="AW30" s="149"/>
      <c r="AX30" s="149"/>
      <c r="AY30" s="149"/>
      <c r="AZ30" s="149"/>
      <c r="BA30" s="149"/>
      <c r="BB30" s="149"/>
      <c r="BC30" s="149"/>
      <c r="BD30" s="149"/>
      <c r="BE30" s="58"/>
      <c r="BF30" s="54"/>
      <c r="BG30" s="148"/>
      <c r="BH30" s="148"/>
      <c r="BI30" s="148"/>
      <c r="BJ30" s="148"/>
      <c r="BK30" s="148"/>
      <c r="BL30" s="148"/>
      <c r="BM30" s="148"/>
      <c r="BN30" s="148"/>
    </row>
    <row r="31" spans="1:66" ht="13.2" customHeight="1">
      <c r="C31" s="10"/>
      <c r="D31" s="114"/>
      <c r="E31" s="114"/>
      <c r="F31" s="114"/>
      <c r="G31" s="114"/>
      <c r="H31" s="114"/>
      <c r="I31" s="114"/>
      <c r="J31" s="114"/>
      <c r="K31" s="114"/>
      <c r="L31" s="114"/>
      <c r="M31" s="138" t="str">
        <f>IFERROR(VLOOKUP($D30, master!$B:$H, 3,FALSE), "")</f>
        <v>BBHA9120E</v>
      </c>
      <c r="N31" s="139"/>
      <c r="O31" s="139"/>
      <c r="P31" s="139"/>
      <c r="Q31" s="139"/>
      <c r="R31" s="139"/>
      <c r="S31" s="139"/>
      <c r="T31" s="140"/>
      <c r="U31" s="120"/>
      <c r="V31" s="121"/>
      <c r="W31" s="121"/>
      <c r="X31" s="121"/>
      <c r="Y31" s="121"/>
      <c r="Z31" s="122"/>
      <c r="AA31" s="132" t="str">
        <f>IFERROR(VLOOKUP($D30, master!$B:$H, 6,FALSE), "")</f>
        <v>モビエレ試験評価部</v>
      </c>
      <c r="AB31" s="133"/>
      <c r="AC31" s="133"/>
      <c r="AD31" s="133"/>
      <c r="AE31" s="133"/>
      <c r="AF31" s="133"/>
      <c r="AG31" s="133"/>
      <c r="AH31" s="134"/>
      <c r="AI31" s="135" t="str">
        <f>IFERROR(VLOOKUP($D30, master!$B:$H, 8,FALSE), "")</f>
        <v/>
      </c>
      <c r="AJ31" s="136"/>
      <c r="AK31" s="136"/>
      <c r="AL31" s="136"/>
      <c r="AM31" s="136"/>
      <c r="AN31" s="136"/>
      <c r="AO31" s="137"/>
      <c r="AQ31" s="11"/>
      <c r="AV31" s="149"/>
      <c r="AW31" s="149"/>
      <c r="AX31" s="149"/>
      <c r="AY31" s="149"/>
      <c r="AZ31" s="149"/>
      <c r="BA31" s="149"/>
      <c r="BB31" s="149"/>
      <c r="BC31" s="149"/>
      <c r="BD31" s="149"/>
      <c r="BE31" s="57"/>
      <c r="BF31" s="54"/>
      <c r="BG31" s="148"/>
      <c r="BH31" s="148"/>
      <c r="BI31" s="148"/>
      <c r="BJ31" s="148"/>
      <c r="BK31" s="148"/>
      <c r="BL31" s="148"/>
      <c r="BM31" s="148"/>
      <c r="BN31" s="148"/>
    </row>
    <row r="32" spans="1:66" ht="13.2" customHeight="1">
      <c r="C32" s="10"/>
      <c r="D32" s="114" t="str">
        <f>IF(抽出!A12&lt;&gt;"", 抽出!A12, "")</f>
        <v>プリアンプ[ SONOMA ]</v>
      </c>
      <c r="E32" s="114"/>
      <c r="F32" s="114"/>
      <c r="G32" s="114"/>
      <c r="H32" s="114"/>
      <c r="I32" s="114"/>
      <c r="J32" s="114"/>
      <c r="K32" s="114"/>
      <c r="L32" s="114"/>
      <c r="M32" s="115" t="str">
        <f>IFERROR(VLOOKUP($D32, master!$B:$H, 2,FALSE), "")</f>
        <v>Sonoma Instrument</v>
      </c>
      <c r="N32" s="116"/>
      <c r="O32" s="116"/>
      <c r="P32" s="116"/>
      <c r="Q32" s="116"/>
      <c r="R32" s="116"/>
      <c r="S32" s="116"/>
      <c r="T32" s="117"/>
      <c r="U32" s="118">
        <f>IFERROR(VLOOKUP($D32, master!$B:$H, 4,FALSE), "")</f>
        <v>100011197643</v>
      </c>
      <c r="V32" s="118"/>
      <c r="W32" s="118"/>
      <c r="X32" s="118"/>
      <c r="Y32" s="118"/>
      <c r="Z32" s="119"/>
      <c r="AA32" s="123" t="str">
        <f>IFERROR(VLOOKUP($D32, master!$B:$H, 5,FALSE), "")</f>
        <v>ZXZZ6663</v>
      </c>
      <c r="AB32" s="124"/>
      <c r="AC32" s="124"/>
      <c r="AD32" s="124"/>
      <c r="AE32" s="124"/>
      <c r="AF32" s="124"/>
      <c r="AG32" s="124"/>
      <c r="AH32" s="125"/>
      <c r="AI32" s="126">
        <f>IFERROR(VLOOKUP($D32, master!$B:$H, 7,FALSE), "")</f>
        <v>46418</v>
      </c>
      <c r="AJ32" s="127"/>
      <c r="AK32" s="127"/>
      <c r="AL32" s="127"/>
      <c r="AM32" s="127"/>
      <c r="AN32" s="127"/>
      <c r="AO32" s="128"/>
      <c r="AQ32" s="11"/>
    </row>
    <row r="33" spans="1:74" ht="13.5" customHeight="1">
      <c r="C33" s="10"/>
      <c r="D33" s="114"/>
      <c r="E33" s="114"/>
      <c r="F33" s="114"/>
      <c r="G33" s="114"/>
      <c r="H33" s="114"/>
      <c r="I33" s="114"/>
      <c r="J33" s="114"/>
      <c r="K33" s="114"/>
      <c r="L33" s="114"/>
      <c r="M33" s="138" t="str">
        <f>IFERROR(VLOOKUP($D32, master!$B:$H, 3,FALSE), "")</f>
        <v>310N</v>
      </c>
      <c r="N33" s="139"/>
      <c r="O33" s="139"/>
      <c r="P33" s="139"/>
      <c r="Q33" s="139"/>
      <c r="R33" s="139"/>
      <c r="S33" s="139"/>
      <c r="T33" s="140"/>
      <c r="U33" s="120"/>
      <c r="V33" s="121"/>
      <c r="W33" s="121"/>
      <c r="X33" s="121"/>
      <c r="Y33" s="121"/>
      <c r="Z33" s="122"/>
      <c r="AA33" s="132" t="str">
        <f>IFERROR(VLOOKUP($D32, master!$B:$H, 6,FALSE), "")</f>
        <v>モビエレ試験評価部</v>
      </c>
      <c r="AB33" s="133"/>
      <c r="AC33" s="133"/>
      <c r="AD33" s="133"/>
      <c r="AE33" s="133"/>
      <c r="AF33" s="133"/>
      <c r="AG33" s="133"/>
      <c r="AH33" s="134"/>
      <c r="AI33" s="135" t="str">
        <f>IFERROR(VLOOKUP($D32, master!$B:$H, 8,FALSE), "")</f>
        <v/>
      </c>
      <c r="AJ33" s="136"/>
      <c r="AK33" s="136"/>
      <c r="AL33" s="136"/>
      <c r="AM33" s="136"/>
      <c r="AN33" s="136"/>
      <c r="AO33" s="137"/>
      <c r="AQ33" s="11"/>
    </row>
    <row r="34" spans="1:74" ht="13.5" customHeight="1">
      <c r="C34" s="10"/>
      <c r="D34" s="114" t="str">
        <f>IF(抽出!A13&lt;&gt;"", 抽出!A13, "")</f>
        <v>プリアンプ[ tsj ]</v>
      </c>
      <c r="E34" s="114"/>
      <c r="F34" s="114"/>
      <c r="G34" s="114"/>
      <c r="H34" s="114"/>
      <c r="I34" s="114"/>
      <c r="J34" s="114"/>
      <c r="K34" s="114"/>
      <c r="L34" s="114"/>
      <c r="M34" s="115" t="str">
        <f>IFERROR(VLOOKUP($D34, master!$B:$H, 2,FALSE), "")</f>
        <v>tsj</v>
      </c>
      <c r="N34" s="116"/>
      <c r="O34" s="116"/>
      <c r="P34" s="116"/>
      <c r="Q34" s="116"/>
      <c r="R34" s="116"/>
      <c r="S34" s="116"/>
      <c r="T34" s="117"/>
      <c r="U34" s="118">
        <f>IFERROR(VLOOKUP($D34, master!$B:$H, 4,FALSE), "")</f>
        <v>100011177501</v>
      </c>
      <c r="V34" s="118"/>
      <c r="W34" s="118"/>
      <c r="X34" s="118"/>
      <c r="Y34" s="118"/>
      <c r="Z34" s="119"/>
      <c r="AA34" s="123" t="str">
        <f>IFERROR(VLOOKUP($D34, master!$B:$H, 5,FALSE), "")</f>
        <v>SAMS0733</v>
      </c>
      <c r="AB34" s="124"/>
      <c r="AC34" s="124"/>
      <c r="AD34" s="124"/>
      <c r="AE34" s="124"/>
      <c r="AF34" s="124"/>
      <c r="AG34" s="124"/>
      <c r="AH34" s="125"/>
      <c r="AI34" s="126">
        <f>IFERROR(VLOOKUP($D34, master!$B:$H, 7,FALSE), "")</f>
        <v>46418</v>
      </c>
      <c r="AJ34" s="127"/>
      <c r="AK34" s="127"/>
      <c r="AL34" s="127"/>
      <c r="AM34" s="127"/>
      <c r="AN34" s="127"/>
      <c r="AO34" s="128"/>
      <c r="AQ34" s="11"/>
    </row>
    <row r="35" spans="1:74" ht="13.5" customHeight="1">
      <c r="C35" s="10"/>
      <c r="D35" s="114"/>
      <c r="E35" s="114"/>
      <c r="F35" s="114"/>
      <c r="G35" s="114"/>
      <c r="H35" s="114"/>
      <c r="I35" s="114"/>
      <c r="J35" s="114"/>
      <c r="K35" s="114"/>
      <c r="L35" s="114"/>
      <c r="M35" s="138" t="str">
        <f>IFERROR(VLOOKUP($D34, master!$B:$H, 3,FALSE), "")</f>
        <v>MLA-0108-j02</v>
      </c>
      <c r="N35" s="139"/>
      <c r="O35" s="139"/>
      <c r="P35" s="139"/>
      <c r="Q35" s="139"/>
      <c r="R35" s="139"/>
      <c r="S35" s="139"/>
      <c r="T35" s="140"/>
      <c r="U35" s="120"/>
      <c r="V35" s="121"/>
      <c r="W35" s="121"/>
      <c r="X35" s="121"/>
      <c r="Y35" s="121"/>
      <c r="Z35" s="122"/>
      <c r="AA35" s="132" t="str">
        <f>IFERROR(VLOOKUP($D34, master!$B:$H, 6,FALSE), "")</f>
        <v>モビエレ試験評価部</v>
      </c>
      <c r="AB35" s="133"/>
      <c r="AC35" s="133"/>
      <c r="AD35" s="133"/>
      <c r="AE35" s="133"/>
      <c r="AF35" s="133"/>
      <c r="AG35" s="133"/>
      <c r="AH35" s="134"/>
      <c r="AI35" s="135" t="str">
        <f>IFERROR(VLOOKUP($D34, master!$B:$H, 8,FALSE), "")</f>
        <v/>
      </c>
      <c r="AJ35" s="136"/>
      <c r="AK35" s="136"/>
      <c r="AL35" s="136"/>
      <c r="AM35" s="136"/>
      <c r="AN35" s="136"/>
      <c r="AO35" s="137"/>
      <c r="AQ35" s="11"/>
    </row>
    <row r="36" spans="1:74" ht="13.5" customHeight="1">
      <c r="C36" s="10"/>
      <c r="D36" s="114" t="str">
        <f>IF(抽出!A14&lt;&gt;"", 抽出!A14, "")</f>
        <v>プリアンプ[ 6cmループ用 ]</v>
      </c>
      <c r="E36" s="114"/>
      <c r="F36" s="114"/>
      <c r="G36" s="114"/>
      <c r="H36" s="114"/>
      <c r="I36" s="114"/>
      <c r="J36" s="114"/>
      <c r="K36" s="114"/>
      <c r="L36" s="114"/>
      <c r="M36" s="115" t="str">
        <f>IFERROR(VLOOKUP($D36, master!$B:$H, 2,FALSE), "")</f>
        <v>東陽テクニカ</v>
      </c>
      <c r="N36" s="116"/>
      <c r="O36" s="116"/>
      <c r="P36" s="116"/>
      <c r="Q36" s="116"/>
      <c r="R36" s="116"/>
      <c r="S36" s="116"/>
      <c r="T36" s="117"/>
      <c r="U36" s="118">
        <f>IFERROR(VLOOKUP($D36, master!$B:$H, 4,FALSE), "")</f>
        <v>100011051455</v>
      </c>
      <c r="V36" s="118"/>
      <c r="W36" s="118"/>
      <c r="X36" s="118"/>
      <c r="Y36" s="118"/>
      <c r="Z36" s="119"/>
      <c r="AA36" s="123" t="str">
        <f>IFERROR(VLOOKUP($D36, master!$B:$H, 5,FALSE), "")</f>
        <v>SAMS0705</v>
      </c>
      <c r="AB36" s="124"/>
      <c r="AC36" s="124"/>
      <c r="AD36" s="124"/>
      <c r="AE36" s="124"/>
      <c r="AF36" s="124"/>
      <c r="AG36" s="124"/>
      <c r="AH36" s="125"/>
      <c r="AI36" s="126">
        <f>IFERROR(VLOOKUP($D36, master!$B:$H, 7,FALSE), "")</f>
        <v>46418</v>
      </c>
      <c r="AJ36" s="127"/>
      <c r="AK36" s="127"/>
      <c r="AL36" s="127"/>
      <c r="AM36" s="127"/>
      <c r="AN36" s="127"/>
      <c r="AO36" s="128"/>
      <c r="AQ36" s="11"/>
    </row>
    <row r="37" spans="1:74" ht="13.5" customHeight="1">
      <c r="C37" s="10"/>
      <c r="D37" s="114"/>
      <c r="E37" s="114"/>
      <c r="F37" s="114"/>
      <c r="G37" s="114"/>
      <c r="H37" s="114"/>
      <c r="I37" s="114"/>
      <c r="J37" s="114"/>
      <c r="K37" s="114"/>
      <c r="L37" s="114"/>
      <c r="M37" s="138" t="str">
        <f>IFERROR(VLOOKUP($D36, master!$B:$H, 3,FALSE), "")</f>
        <v>TPA-AM1431</v>
      </c>
      <c r="N37" s="139"/>
      <c r="O37" s="139"/>
      <c r="P37" s="139"/>
      <c r="Q37" s="139"/>
      <c r="R37" s="139"/>
      <c r="S37" s="139"/>
      <c r="T37" s="140"/>
      <c r="U37" s="120"/>
      <c r="V37" s="121"/>
      <c r="W37" s="121"/>
      <c r="X37" s="121"/>
      <c r="Y37" s="121"/>
      <c r="Z37" s="122"/>
      <c r="AA37" s="132" t="str">
        <f>IFERROR(VLOOKUP($D36, master!$B:$H, 6,FALSE), "")</f>
        <v>モビエレ試験評価部</v>
      </c>
      <c r="AB37" s="133"/>
      <c r="AC37" s="133"/>
      <c r="AD37" s="133"/>
      <c r="AE37" s="133"/>
      <c r="AF37" s="133"/>
      <c r="AG37" s="133"/>
      <c r="AH37" s="134"/>
      <c r="AI37" s="135" t="str">
        <f>IFERROR(VLOOKUP($D36, master!$B:$H, 8,FALSE), "")</f>
        <v/>
      </c>
      <c r="AJ37" s="136"/>
      <c r="AK37" s="136"/>
      <c r="AL37" s="136"/>
      <c r="AM37" s="136"/>
      <c r="AN37" s="136"/>
      <c r="AO37" s="137"/>
      <c r="AQ37" s="11"/>
    </row>
    <row r="38" spans="1:74" ht="13.5" customHeight="1">
      <c r="C38" s="10"/>
      <c r="D38" s="114" t="str">
        <f>IF(抽出!A17&lt;&gt;"", 抽出!A17, "")</f>
        <v>電流プローブ[ 94111-1]</v>
      </c>
      <c r="E38" s="114"/>
      <c r="F38" s="114"/>
      <c r="G38" s="114"/>
      <c r="H38" s="114"/>
      <c r="I38" s="114"/>
      <c r="J38" s="114"/>
      <c r="K38" s="114"/>
      <c r="L38" s="114"/>
      <c r="M38" s="115" t="str">
        <f>IFERROR(VLOOKUP($D38, master!$B:$H, 2,FALSE), "")</f>
        <v>ETS・LINDGREN</v>
      </c>
      <c r="N38" s="116"/>
      <c r="O38" s="116"/>
      <c r="P38" s="116"/>
      <c r="Q38" s="116"/>
      <c r="R38" s="116"/>
      <c r="S38" s="116"/>
      <c r="T38" s="117"/>
      <c r="U38" s="118">
        <f>IFERROR(VLOOKUP($D38, master!$B:$H, 4,FALSE), "")</f>
        <v>100010086208</v>
      </c>
      <c r="V38" s="118"/>
      <c r="W38" s="118"/>
      <c r="X38" s="118"/>
      <c r="Y38" s="118"/>
      <c r="Z38" s="119"/>
      <c r="AA38" s="123" t="str">
        <f>IFERROR(VLOOKUP($D38, master!$B:$H, 5,FALSE), "")</f>
        <v>S CP0916</v>
      </c>
      <c r="AB38" s="124"/>
      <c r="AC38" s="124"/>
      <c r="AD38" s="124"/>
      <c r="AE38" s="124"/>
      <c r="AF38" s="124"/>
      <c r="AG38" s="124"/>
      <c r="AH38" s="125"/>
      <c r="AI38" s="126">
        <f>IFERROR(VLOOKUP($D38, master!$B:$H, 7,FALSE), "")</f>
        <v>46418</v>
      </c>
      <c r="AJ38" s="127"/>
      <c r="AK38" s="127"/>
      <c r="AL38" s="127"/>
      <c r="AM38" s="127"/>
      <c r="AN38" s="127"/>
      <c r="AO38" s="128"/>
      <c r="AQ38" s="11"/>
    </row>
    <row r="39" spans="1:74" ht="13.2" customHeight="1">
      <c r="C39" s="10"/>
      <c r="D39" s="114"/>
      <c r="E39" s="114"/>
      <c r="F39" s="114"/>
      <c r="G39" s="114"/>
      <c r="H39" s="114"/>
      <c r="I39" s="114"/>
      <c r="J39" s="114"/>
      <c r="K39" s="114"/>
      <c r="L39" s="114"/>
      <c r="M39" s="138" t="str">
        <f>IFERROR(VLOOKUP($D38, master!$B:$H, 3,FALSE), "")</f>
        <v>94111-1</v>
      </c>
      <c r="N39" s="139"/>
      <c r="O39" s="139"/>
      <c r="P39" s="139"/>
      <c r="Q39" s="139"/>
      <c r="R39" s="139"/>
      <c r="S39" s="139"/>
      <c r="T39" s="140"/>
      <c r="U39" s="120"/>
      <c r="V39" s="121"/>
      <c r="W39" s="121"/>
      <c r="X39" s="121"/>
      <c r="Y39" s="121"/>
      <c r="Z39" s="122"/>
      <c r="AA39" s="132" t="str">
        <f>IFERROR(VLOOKUP($D38, master!$B:$H, 6,FALSE), "")</f>
        <v>モビエレ試験評価部</v>
      </c>
      <c r="AB39" s="133"/>
      <c r="AC39" s="133"/>
      <c r="AD39" s="133"/>
      <c r="AE39" s="133"/>
      <c r="AF39" s="133"/>
      <c r="AG39" s="133"/>
      <c r="AH39" s="134"/>
      <c r="AI39" s="135" t="str">
        <f>IFERROR(VLOOKUP($D38, master!$B:$H, 8,FALSE), "")</f>
        <v/>
      </c>
      <c r="AJ39" s="136"/>
      <c r="AK39" s="136"/>
      <c r="AL39" s="136"/>
      <c r="AM39" s="136"/>
      <c r="AN39" s="136"/>
      <c r="AO39" s="137"/>
      <c r="AQ39" s="11"/>
    </row>
    <row r="40" spans="1:74" ht="13.2" customHeight="1">
      <c r="C40" s="10"/>
      <c r="D40" s="114" t="str">
        <f>IF(抽出!A18&lt;&gt;"", 抽出!A18, "")</f>
        <v>3dBアッテネータ</v>
      </c>
      <c r="E40" s="114"/>
      <c r="F40" s="114"/>
      <c r="G40" s="114"/>
      <c r="H40" s="114"/>
      <c r="I40" s="114"/>
      <c r="J40" s="114"/>
      <c r="K40" s="114"/>
      <c r="L40" s="114"/>
      <c r="M40" s="115" t="str">
        <f>IFERROR(VLOOKUP($D40, master!$B:$H, 2,FALSE), "")</f>
        <v>JFW Industries</v>
      </c>
      <c r="N40" s="116"/>
      <c r="O40" s="116"/>
      <c r="P40" s="116"/>
      <c r="Q40" s="116"/>
      <c r="R40" s="116"/>
      <c r="S40" s="116"/>
      <c r="T40" s="117"/>
      <c r="U40" s="118">
        <f>IFERROR(VLOOKUP($D40, master!$B:$H, 4,FALSE), "")</f>
        <v>100011208489</v>
      </c>
      <c r="V40" s="118"/>
      <c r="W40" s="118"/>
      <c r="X40" s="118"/>
      <c r="Y40" s="118"/>
      <c r="Z40" s="119"/>
      <c r="AA40" s="123" t="str">
        <f>IFERROR(VLOOKUP($D40, master!$B:$H, 5,FALSE), "")</f>
        <v>-</v>
      </c>
      <c r="AB40" s="124"/>
      <c r="AC40" s="124"/>
      <c r="AD40" s="124"/>
      <c r="AE40" s="124"/>
      <c r="AF40" s="124"/>
      <c r="AG40" s="124"/>
      <c r="AH40" s="125"/>
      <c r="AI40" s="126">
        <f>IFERROR(VLOOKUP($D40, master!$B:$H, 7,FALSE), "")</f>
        <v>46418</v>
      </c>
      <c r="AJ40" s="127"/>
      <c r="AK40" s="127"/>
      <c r="AL40" s="127"/>
      <c r="AM40" s="127"/>
      <c r="AN40" s="127"/>
      <c r="AO40" s="128"/>
      <c r="AQ40" s="11"/>
    </row>
    <row r="41" spans="1:74" ht="13.2" customHeight="1">
      <c r="C41" s="10"/>
      <c r="D41" s="114"/>
      <c r="E41" s="114"/>
      <c r="F41" s="114"/>
      <c r="G41" s="114"/>
      <c r="H41" s="114"/>
      <c r="I41" s="114"/>
      <c r="J41" s="114"/>
      <c r="K41" s="114"/>
      <c r="L41" s="114"/>
      <c r="M41" s="129" t="str">
        <f>IFERROR(VLOOKUP($D40, master!$B:$H, 3,FALSE), "")</f>
        <v>50HF-003N</v>
      </c>
      <c r="N41" s="130"/>
      <c r="O41" s="130"/>
      <c r="P41" s="130"/>
      <c r="Q41" s="130"/>
      <c r="R41" s="130"/>
      <c r="S41" s="130"/>
      <c r="T41" s="131"/>
      <c r="U41" s="120"/>
      <c r="V41" s="121"/>
      <c r="W41" s="121"/>
      <c r="X41" s="121"/>
      <c r="Y41" s="121"/>
      <c r="Z41" s="122"/>
      <c r="AA41" s="132" t="str">
        <f>IFERROR(VLOOKUP($D40, master!$B:$H, 6,FALSE), "")</f>
        <v>モビエレ試験評価部</v>
      </c>
      <c r="AB41" s="133"/>
      <c r="AC41" s="133"/>
      <c r="AD41" s="133"/>
      <c r="AE41" s="133"/>
      <c r="AF41" s="133"/>
      <c r="AG41" s="133"/>
      <c r="AH41" s="134"/>
      <c r="AI41" s="135" t="str">
        <f>IFERROR(VLOOKUP($D40, master!$B:$H, 8,FALSE), "")</f>
        <v/>
      </c>
      <c r="AJ41" s="136"/>
      <c r="AK41" s="136"/>
      <c r="AL41" s="136"/>
      <c r="AM41" s="136"/>
      <c r="AN41" s="136"/>
      <c r="AO41" s="137"/>
      <c r="AQ41" s="11"/>
    </row>
    <row r="42" spans="1:74" ht="13.5" customHeight="1">
      <c r="C42" s="10"/>
      <c r="AQ42" s="11"/>
    </row>
    <row r="43" spans="1:74" ht="13.5" customHeight="1">
      <c r="C43" s="10"/>
      <c r="AQ43" s="11"/>
    </row>
    <row r="44" spans="1:74" ht="13.5" customHeight="1">
      <c r="A44" s="18"/>
      <c r="C44" s="17"/>
      <c r="D44" s="75" t="s">
        <v>25</v>
      </c>
      <c r="E44" s="74"/>
      <c r="F44" s="74"/>
      <c r="G44" s="74"/>
      <c r="H44" s="74"/>
      <c r="I44" s="74"/>
      <c r="J44" s="74"/>
      <c r="K44" s="74"/>
      <c r="L44" s="74"/>
      <c r="M44" s="75"/>
      <c r="N44" s="75"/>
      <c r="O44" s="75"/>
      <c r="P44" s="75"/>
      <c r="Q44" s="75"/>
      <c r="R44" s="75"/>
      <c r="S44" s="75"/>
      <c r="T44" s="78"/>
      <c r="U44" s="78"/>
      <c r="V44" s="78"/>
      <c r="W44" s="78"/>
      <c r="X44" s="78"/>
      <c r="Y44" s="78"/>
      <c r="Z44" s="80"/>
      <c r="AA44" s="80"/>
      <c r="AB44" s="80"/>
      <c r="AC44" s="80"/>
      <c r="AD44" s="80"/>
      <c r="AE44" s="80"/>
      <c r="AF44" s="80"/>
      <c r="AG44" s="80"/>
      <c r="AH44" s="75"/>
      <c r="AI44" s="75"/>
      <c r="AJ44" s="75"/>
      <c r="AK44" s="75"/>
      <c r="AL44" s="75"/>
      <c r="AM44" s="75"/>
      <c r="AN44" s="75"/>
      <c r="AO44" s="14"/>
      <c r="AQ44" s="11"/>
      <c r="BO44" s="45"/>
      <c r="BP44" s="45"/>
      <c r="BQ44" s="45"/>
      <c r="BR44" s="45"/>
      <c r="BS44" s="45"/>
      <c r="BT44" s="45"/>
      <c r="BU44" s="45"/>
      <c r="BV44" s="45"/>
    </row>
    <row r="45" spans="1:74" ht="13.5" customHeight="1">
      <c r="C45" s="10"/>
      <c r="D45" s="151" t="s">
        <v>4</v>
      </c>
      <c r="E45" s="152"/>
      <c r="F45" s="152"/>
      <c r="G45" s="152"/>
      <c r="H45" s="152"/>
      <c r="I45" s="152"/>
      <c r="J45" s="152"/>
      <c r="K45" s="152"/>
      <c r="L45" s="153"/>
      <c r="M45" s="30" t="s">
        <v>29</v>
      </c>
      <c r="N45" s="31"/>
      <c r="O45" s="31"/>
      <c r="P45" s="31"/>
      <c r="Q45" s="31"/>
      <c r="R45" s="31"/>
      <c r="S45" s="31"/>
      <c r="T45" s="32"/>
      <c r="U45" s="141" t="s">
        <v>28</v>
      </c>
      <c r="V45" s="142"/>
      <c r="W45" s="142"/>
      <c r="X45" s="142"/>
      <c r="Y45" s="142"/>
      <c r="Z45" s="143"/>
      <c r="AA45" s="33" t="s">
        <v>30</v>
      </c>
      <c r="AB45" s="34"/>
      <c r="AC45" s="34"/>
      <c r="AD45" s="34"/>
      <c r="AE45" s="34"/>
      <c r="AF45" s="34"/>
      <c r="AG45" s="34"/>
      <c r="AH45" s="35"/>
      <c r="AI45" s="33" t="s">
        <v>7</v>
      </c>
      <c r="AJ45" s="34"/>
      <c r="AK45" s="34"/>
      <c r="AL45" s="34"/>
      <c r="AM45" s="34"/>
      <c r="AN45" s="34"/>
      <c r="AO45" s="35"/>
      <c r="AP45" s="28"/>
      <c r="AQ45" s="11"/>
      <c r="BE45" s="55"/>
      <c r="BF45" s="54"/>
      <c r="BG45" s="148"/>
      <c r="BH45" s="148"/>
      <c r="BI45" s="148"/>
      <c r="BJ45" s="148"/>
      <c r="BK45" s="148"/>
      <c r="BL45" s="148"/>
      <c r="BM45" s="148"/>
      <c r="BN45" s="148"/>
    </row>
    <row r="46" spans="1:74" ht="13.5" customHeight="1">
      <c r="C46" s="10"/>
      <c r="D46" s="154"/>
      <c r="E46" s="155"/>
      <c r="F46" s="155"/>
      <c r="G46" s="155"/>
      <c r="H46" s="155"/>
      <c r="I46" s="155"/>
      <c r="J46" s="155"/>
      <c r="K46" s="155"/>
      <c r="L46" s="156"/>
      <c r="M46" s="111" t="s">
        <v>9</v>
      </c>
      <c r="N46" s="112"/>
      <c r="O46" s="112"/>
      <c r="P46" s="112"/>
      <c r="Q46" s="112"/>
      <c r="R46" s="112"/>
      <c r="S46" s="112"/>
      <c r="T46" s="113"/>
      <c r="U46" s="144"/>
      <c r="V46" s="145"/>
      <c r="W46" s="145"/>
      <c r="X46" s="145"/>
      <c r="Y46" s="145"/>
      <c r="Z46" s="146"/>
      <c r="AA46" s="39" t="s">
        <v>10</v>
      </c>
      <c r="AB46" s="40"/>
      <c r="AC46" s="40"/>
      <c r="AD46" s="40"/>
      <c r="AE46" s="40"/>
      <c r="AF46" s="40"/>
      <c r="AG46" s="40"/>
      <c r="AH46" s="41"/>
      <c r="AI46" s="42" t="s">
        <v>8</v>
      </c>
      <c r="AJ46" s="43"/>
      <c r="AK46" s="43"/>
      <c r="AL46" s="43"/>
      <c r="AM46" s="43"/>
      <c r="AN46" s="43"/>
      <c r="AO46" s="44"/>
      <c r="AP46" s="28"/>
      <c r="AQ46" s="11"/>
      <c r="AV46" s="149"/>
      <c r="AW46" s="149"/>
      <c r="AX46" s="149"/>
      <c r="AY46" s="149"/>
      <c r="AZ46" s="149"/>
      <c r="BA46" s="149"/>
      <c r="BB46" s="149"/>
      <c r="BC46" s="149"/>
      <c r="BD46" s="149"/>
      <c r="BE46" s="56"/>
      <c r="BF46" s="54"/>
      <c r="BG46" s="148"/>
      <c r="BH46" s="148"/>
      <c r="BI46" s="148"/>
      <c r="BJ46" s="148"/>
      <c r="BK46" s="148"/>
      <c r="BL46" s="148"/>
      <c r="BM46" s="148"/>
      <c r="BN46" s="148"/>
    </row>
    <row r="47" spans="1:74" ht="13.5" customHeight="1">
      <c r="A47" s="18"/>
      <c r="C47" s="17"/>
      <c r="D47" s="150"/>
      <c r="E47" s="150"/>
      <c r="F47" s="150"/>
      <c r="G47" s="150"/>
      <c r="H47" s="150"/>
      <c r="I47" s="150"/>
      <c r="J47" s="150"/>
      <c r="K47" s="150"/>
      <c r="L47" s="157"/>
      <c r="M47" s="115"/>
      <c r="N47" s="116"/>
      <c r="O47" s="116"/>
      <c r="P47" s="116"/>
      <c r="Q47" s="116"/>
      <c r="R47" s="116"/>
      <c r="S47" s="116"/>
      <c r="T47" s="117"/>
      <c r="U47" s="118"/>
      <c r="V47" s="118"/>
      <c r="W47" s="118"/>
      <c r="X47" s="118"/>
      <c r="Y47" s="118"/>
      <c r="Z47" s="119"/>
      <c r="AA47" s="123"/>
      <c r="AB47" s="124"/>
      <c r="AC47" s="124"/>
      <c r="AD47" s="124"/>
      <c r="AE47" s="124"/>
      <c r="AF47" s="124"/>
      <c r="AG47" s="124"/>
      <c r="AH47" s="125"/>
      <c r="AI47" s="126"/>
      <c r="AJ47" s="127"/>
      <c r="AK47" s="127"/>
      <c r="AL47" s="127"/>
      <c r="AM47" s="127"/>
      <c r="AN47" s="127"/>
      <c r="AO47" s="128"/>
      <c r="AQ47" s="11"/>
      <c r="AV47" s="149"/>
      <c r="AW47" s="149"/>
      <c r="AX47" s="149"/>
      <c r="AY47" s="149"/>
      <c r="AZ47" s="149"/>
      <c r="BA47" s="149"/>
      <c r="BB47" s="149"/>
      <c r="BC47" s="149"/>
      <c r="BD47" s="149"/>
      <c r="BE47" s="55"/>
      <c r="BF47" s="54"/>
      <c r="BG47" s="148"/>
      <c r="BH47" s="148"/>
      <c r="BI47" s="148"/>
      <c r="BJ47" s="148"/>
      <c r="BK47" s="148"/>
      <c r="BL47" s="148"/>
      <c r="BM47" s="148"/>
      <c r="BN47" s="148"/>
    </row>
    <row r="48" spans="1:74" ht="13.2" customHeight="1">
      <c r="C48" s="10"/>
      <c r="D48" s="150"/>
      <c r="E48" s="150"/>
      <c r="F48" s="150"/>
      <c r="G48" s="150"/>
      <c r="H48" s="150"/>
      <c r="I48" s="150"/>
      <c r="J48" s="150"/>
      <c r="K48" s="150"/>
      <c r="L48" s="150"/>
      <c r="M48" s="138"/>
      <c r="N48" s="139"/>
      <c r="O48" s="139"/>
      <c r="P48" s="139"/>
      <c r="Q48" s="139"/>
      <c r="R48" s="139"/>
      <c r="S48" s="139"/>
      <c r="T48" s="140"/>
      <c r="U48" s="120"/>
      <c r="V48" s="121"/>
      <c r="W48" s="121"/>
      <c r="X48" s="121"/>
      <c r="Y48" s="121"/>
      <c r="Z48" s="122"/>
      <c r="AA48" s="132"/>
      <c r="AB48" s="133"/>
      <c r="AC48" s="133"/>
      <c r="AD48" s="133"/>
      <c r="AE48" s="133"/>
      <c r="AF48" s="133"/>
      <c r="AG48" s="133"/>
      <c r="AH48" s="134"/>
      <c r="AI48" s="135"/>
      <c r="AJ48" s="136"/>
      <c r="AK48" s="136"/>
      <c r="AL48" s="136"/>
      <c r="AM48" s="136"/>
      <c r="AN48" s="136"/>
      <c r="AO48" s="137"/>
      <c r="AQ48" s="11"/>
      <c r="AV48" s="149"/>
      <c r="AW48" s="149"/>
      <c r="AX48" s="149"/>
      <c r="AY48" s="149"/>
      <c r="AZ48" s="149"/>
      <c r="BA48" s="149"/>
      <c r="BB48" s="149"/>
      <c r="BC48" s="149"/>
      <c r="BD48" s="149"/>
      <c r="BE48" s="57"/>
      <c r="BF48" s="54"/>
      <c r="BG48" s="148"/>
      <c r="BH48" s="148"/>
      <c r="BI48" s="148"/>
      <c r="BJ48" s="148"/>
      <c r="BK48" s="148"/>
      <c r="BL48" s="148"/>
      <c r="BM48" s="148"/>
      <c r="BN48" s="148"/>
    </row>
    <row r="49" spans="1:74" ht="13.5" customHeight="1">
      <c r="C49" s="10"/>
      <c r="D49" s="150"/>
      <c r="E49" s="150"/>
      <c r="F49" s="150"/>
      <c r="G49" s="150"/>
      <c r="H49" s="150"/>
      <c r="I49" s="150"/>
      <c r="J49" s="150"/>
      <c r="K49" s="150"/>
      <c r="L49" s="150"/>
      <c r="M49" s="115"/>
      <c r="N49" s="116"/>
      <c r="O49" s="116"/>
      <c r="P49" s="116"/>
      <c r="Q49" s="116"/>
      <c r="R49" s="116"/>
      <c r="S49" s="116"/>
      <c r="T49" s="117"/>
      <c r="U49" s="118"/>
      <c r="V49" s="118"/>
      <c r="W49" s="118"/>
      <c r="X49" s="118"/>
      <c r="Y49" s="118"/>
      <c r="Z49" s="119"/>
      <c r="AA49" s="123"/>
      <c r="AB49" s="124"/>
      <c r="AC49" s="124"/>
      <c r="AD49" s="124"/>
      <c r="AE49" s="124"/>
      <c r="AF49" s="124"/>
      <c r="AG49" s="124"/>
      <c r="AH49" s="125"/>
      <c r="AI49" s="126"/>
      <c r="AJ49" s="127"/>
      <c r="AK49" s="127"/>
      <c r="AL49" s="127"/>
      <c r="AM49" s="127"/>
      <c r="AN49" s="127"/>
      <c r="AO49" s="128"/>
      <c r="AQ49" s="11"/>
      <c r="AV49" s="149"/>
      <c r="AW49" s="149"/>
      <c r="AX49" s="149"/>
      <c r="AY49" s="149"/>
      <c r="AZ49" s="149"/>
      <c r="BA49" s="149"/>
      <c r="BB49" s="149"/>
      <c r="BC49" s="149"/>
      <c r="BD49" s="149"/>
      <c r="BE49" s="58"/>
      <c r="BF49" s="54"/>
      <c r="BG49" s="148"/>
      <c r="BH49" s="148"/>
      <c r="BI49" s="148"/>
      <c r="BJ49" s="148"/>
      <c r="BK49" s="148"/>
      <c r="BL49" s="148"/>
      <c r="BM49" s="148"/>
      <c r="BN49" s="148"/>
    </row>
    <row r="50" spans="1:74" ht="13.5" customHeight="1">
      <c r="C50" s="10"/>
      <c r="D50" s="150"/>
      <c r="E50" s="150"/>
      <c r="F50" s="150"/>
      <c r="G50" s="150"/>
      <c r="H50" s="150"/>
      <c r="I50" s="150"/>
      <c r="J50" s="150"/>
      <c r="K50" s="150"/>
      <c r="L50" s="150"/>
      <c r="M50" s="138"/>
      <c r="N50" s="139"/>
      <c r="O50" s="139"/>
      <c r="P50" s="139"/>
      <c r="Q50" s="139"/>
      <c r="R50" s="139"/>
      <c r="S50" s="139"/>
      <c r="T50" s="140"/>
      <c r="U50" s="120"/>
      <c r="V50" s="121"/>
      <c r="W50" s="121"/>
      <c r="X50" s="121"/>
      <c r="Y50" s="121"/>
      <c r="Z50" s="122"/>
      <c r="AA50" s="132"/>
      <c r="AB50" s="133"/>
      <c r="AC50" s="133"/>
      <c r="AD50" s="133"/>
      <c r="AE50" s="133"/>
      <c r="AF50" s="133"/>
      <c r="AG50" s="133"/>
      <c r="AH50" s="134"/>
      <c r="AI50" s="135"/>
      <c r="AJ50" s="136"/>
      <c r="AK50" s="136"/>
      <c r="AL50" s="136"/>
      <c r="AM50" s="136"/>
      <c r="AN50" s="136"/>
      <c r="AO50" s="137"/>
      <c r="AQ50" s="11"/>
      <c r="AV50" s="149"/>
      <c r="AW50" s="149"/>
      <c r="AX50" s="149"/>
      <c r="AY50" s="149"/>
      <c r="AZ50" s="149"/>
      <c r="BA50" s="149"/>
      <c r="BB50" s="149"/>
      <c r="BC50" s="149"/>
      <c r="BD50" s="149"/>
      <c r="BE50" s="58"/>
      <c r="BF50" s="54"/>
      <c r="BG50" s="148"/>
      <c r="BH50" s="148"/>
      <c r="BI50" s="148"/>
      <c r="BJ50" s="148"/>
      <c r="BK50" s="148"/>
      <c r="BL50" s="148"/>
      <c r="BM50" s="148"/>
      <c r="BN50" s="148"/>
    </row>
    <row r="51" spans="1:74" ht="13.2" customHeight="1">
      <c r="C51" s="10"/>
      <c r="D51" s="150"/>
      <c r="E51" s="150"/>
      <c r="F51" s="150"/>
      <c r="G51" s="150"/>
      <c r="H51" s="150"/>
      <c r="I51" s="150"/>
      <c r="J51" s="150"/>
      <c r="K51" s="150"/>
      <c r="L51" s="150"/>
      <c r="M51" s="115"/>
      <c r="N51" s="116"/>
      <c r="O51" s="116"/>
      <c r="P51" s="116"/>
      <c r="Q51" s="116"/>
      <c r="R51" s="116"/>
      <c r="S51" s="116"/>
      <c r="T51" s="117"/>
      <c r="U51" s="118"/>
      <c r="V51" s="118"/>
      <c r="W51" s="118"/>
      <c r="X51" s="118"/>
      <c r="Y51" s="118"/>
      <c r="Z51" s="119"/>
      <c r="AA51" s="123"/>
      <c r="AB51" s="124"/>
      <c r="AC51" s="124"/>
      <c r="AD51" s="124"/>
      <c r="AE51" s="124"/>
      <c r="AF51" s="124"/>
      <c r="AG51" s="124"/>
      <c r="AH51" s="125"/>
      <c r="AI51" s="126"/>
      <c r="AJ51" s="127"/>
      <c r="AK51" s="127"/>
      <c r="AL51" s="127"/>
      <c r="AM51" s="127"/>
      <c r="AN51" s="127"/>
      <c r="AO51" s="128"/>
      <c r="AQ51" s="11"/>
      <c r="AV51" s="149"/>
      <c r="AW51" s="149"/>
      <c r="AX51" s="149"/>
      <c r="AY51" s="149"/>
      <c r="AZ51" s="149"/>
      <c r="BA51" s="149"/>
      <c r="BB51" s="149"/>
      <c r="BC51" s="149"/>
      <c r="BD51" s="149"/>
      <c r="BE51" s="57"/>
      <c r="BF51" s="54"/>
      <c r="BG51" s="148"/>
      <c r="BH51" s="148"/>
      <c r="BI51" s="148"/>
      <c r="BJ51" s="148"/>
      <c r="BK51" s="148"/>
      <c r="BL51" s="148"/>
      <c r="BM51" s="148"/>
      <c r="BN51" s="148"/>
    </row>
    <row r="52" spans="1:74" ht="13.2" customHeight="1">
      <c r="C52" s="10"/>
      <c r="D52" s="150"/>
      <c r="E52" s="150"/>
      <c r="F52" s="150"/>
      <c r="G52" s="150"/>
      <c r="H52" s="150"/>
      <c r="I52" s="150"/>
      <c r="J52" s="150"/>
      <c r="K52" s="150"/>
      <c r="L52" s="150"/>
      <c r="M52" s="138"/>
      <c r="N52" s="139"/>
      <c r="O52" s="139"/>
      <c r="P52" s="139"/>
      <c r="Q52" s="139"/>
      <c r="R52" s="139"/>
      <c r="S52" s="139"/>
      <c r="T52" s="140"/>
      <c r="U52" s="120"/>
      <c r="V52" s="121"/>
      <c r="W52" s="121"/>
      <c r="X52" s="121"/>
      <c r="Y52" s="121"/>
      <c r="Z52" s="122"/>
      <c r="AA52" s="132"/>
      <c r="AB52" s="133"/>
      <c r="AC52" s="133"/>
      <c r="AD52" s="133"/>
      <c r="AE52" s="133"/>
      <c r="AF52" s="133"/>
      <c r="AG52" s="133"/>
      <c r="AH52" s="134"/>
      <c r="AI52" s="135"/>
      <c r="AJ52" s="136"/>
      <c r="AK52" s="136"/>
      <c r="AL52" s="136"/>
      <c r="AM52" s="136"/>
      <c r="AN52" s="136"/>
      <c r="AO52" s="137"/>
      <c r="AQ52" s="11"/>
    </row>
    <row r="53" spans="1:74" ht="13.5" customHeight="1">
      <c r="C53" s="10"/>
      <c r="D53" s="150"/>
      <c r="E53" s="150"/>
      <c r="F53" s="150"/>
      <c r="G53" s="150"/>
      <c r="H53" s="150"/>
      <c r="I53" s="150"/>
      <c r="J53" s="150"/>
      <c r="K53" s="150"/>
      <c r="L53" s="150"/>
      <c r="M53" s="115"/>
      <c r="N53" s="116"/>
      <c r="O53" s="116"/>
      <c r="P53" s="116"/>
      <c r="Q53" s="116"/>
      <c r="R53" s="116"/>
      <c r="S53" s="116"/>
      <c r="T53" s="117"/>
      <c r="U53" s="118"/>
      <c r="V53" s="118"/>
      <c r="W53" s="118"/>
      <c r="X53" s="118"/>
      <c r="Y53" s="118"/>
      <c r="Z53" s="119"/>
      <c r="AA53" s="123"/>
      <c r="AB53" s="124"/>
      <c r="AC53" s="124"/>
      <c r="AD53" s="124"/>
      <c r="AE53" s="124"/>
      <c r="AF53" s="124"/>
      <c r="AG53" s="124"/>
      <c r="AH53" s="125"/>
      <c r="AI53" s="126"/>
      <c r="AJ53" s="127"/>
      <c r="AK53" s="127"/>
      <c r="AL53" s="127"/>
      <c r="AM53" s="127"/>
      <c r="AN53" s="127"/>
      <c r="AO53" s="128"/>
      <c r="AQ53" s="11"/>
    </row>
    <row r="54" spans="1:74" ht="13.5" customHeight="1">
      <c r="C54" s="10"/>
      <c r="D54" s="150"/>
      <c r="E54" s="150"/>
      <c r="F54" s="150"/>
      <c r="G54" s="150"/>
      <c r="H54" s="150"/>
      <c r="I54" s="150"/>
      <c r="J54" s="150"/>
      <c r="K54" s="150"/>
      <c r="L54" s="150"/>
      <c r="M54" s="138"/>
      <c r="N54" s="139"/>
      <c r="O54" s="139"/>
      <c r="P54" s="139"/>
      <c r="Q54" s="139"/>
      <c r="R54" s="139"/>
      <c r="S54" s="139"/>
      <c r="T54" s="140"/>
      <c r="U54" s="120"/>
      <c r="V54" s="121"/>
      <c r="W54" s="121"/>
      <c r="X54" s="121"/>
      <c r="Y54" s="121"/>
      <c r="Z54" s="122"/>
      <c r="AA54" s="132"/>
      <c r="AB54" s="133"/>
      <c r="AC54" s="133"/>
      <c r="AD54" s="133"/>
      <c r="AE54" s="133"/>
      <c r="AF54" s="133"/>
      <c r="AG54" s="133"/>
      <c r="AH54" s="134"/>
      <c r="AI54" s="135"/>
      <c r="AJ54" s="136"/>
      <c r="AK54" s="136"/>
      <c r="AL54" s="136"/>
      <c r="AM54" s="136"/>
      <c r="AN54" s="136"/>
      <c r="AO54" s="137"/>
      <c r="AQ54" s="11"/>
    </row>
    <row r="55" spans="1:74" ht="13.5" customHeight="1">
      <c r="C55" s="10"/>
      <c r="D55" s="150"/>
      <c r="E55" s="150"/>
      <c r="F55" s="150"/>
      <c r="G55" s="150"/>
      <c r="H55" s="150"/>
      <c r="I55" s="150"/>
      <c r="J55" s="150"/>
      <c r="K55" s="150"/>
      <c r="L55" s="150"/>
      <c r="M55" s="115"/>
      <c r="N55" s="116"/>
      <c r="O55" s="116"/>
      <c r="P55" s="116"/>
      <c r="Q55" s="116"/>
      <c r="R55" s="116"/>
      <c r="S55" s="116"/>
      <c r="T55" s="117"/>
      <c r="U55" s="118"/>
      <c r="V55" s="118"/>
      <c r="W55" s="118"/>
      <c r="X55" s="118"/>
      <c r="Y55" s="118"/>
      <c r="Z55" s="119"/>
      <c r="AA55" s="123"/>
      <c r="AB55" s="124"/>
      <c r="AC55" s="124"/>
      <c r="AD55" s="124"/>
      <c r="AE55" s="124"/>
      <c r="AF55" s="124"/>
      <c r="AG55" s="124"/>
      <c r="AH55" s="125"/>
      <c r="AI55" s="126"/>
      <c r="AJ55" s="127"/>
      <c r="AK55" s="127"/>
      <c r="AL55" s="127"/>
      <c r="AM55" s="127"/>
      <c r="AN55" s="127"/>
      <c r="AO55" s="128"/>
      <c r="AQ55" s="11"/>
    </row>
    <row r="56" spans="1:74" ht="13.5" customHeight="1">
      <c r="C56" s="10"/>
      <c r="D56" s="150"/>
      <c r="E56" s="150"/>
      <c r="F56" s="150"/>
      <c r="G56" s="150"/>
      <c r="H56" s="150"/>
      <c r="I56" s="150"/>
      <c r="J56" s="150"/>
      <c r="K56" s="150"/>
      <c r="L56" s="150"/>
      <c r="M56" s="138"/>
      <c r="N56" s="139"/>
      <c r="O56" s="139"/>
      <c r="P56" s="139"/>
      <c r="Q56" s="139"/>
      <c r="R56" s="139"/>
      <c r="S56" s="139"/>
      <c r="T56" s="140"/>
      <c r="U56" s="120"/>
      <c r="V56" s="121"/>
      <c r="W56" s="121"/>
      <c r="X56" s="121"/>
      <c r="Y56" s="121"/>
      <c r="Z56" s="122"/>
      <c r="AA56" s="132"/>
      <c r="AB56" s="133"/>
      <c r="AC56" s="133"/>
      <c r="AD56" s="133"/>
      <c r="AE56" s="133"/>
      <c r="AF56" s="133"/>
      <c r="AG56" s="133"/>
      <c r="AH56" s="134"/>
      <c r="AI56" s="135"/>
      <c r="AJ56" s="136"/>
      <c r="AK56" s="136"/>
      <c r="AL56" s="136"/>
      <c r="AM56" s="136"/>
      <c r="AN56" s="136"/>
      <c r="AO56" s="137"/>
      <c r="AQ56" s="11"/>
    </row>
    <row r="57" spans="1:74" ht="13.5" customHeight="1">
      <c r="C57" s="10"/>
      <c r="D57" s="150"/>
      <c r="E57" s="150"/>
      <c r="F57" s="150"/>
      <c r="G57" s="150"/>
      <c r="H57" s="150"/>
      <c r="I57" s="150"/>
      <c r="J57" s="150"/>
      <c r="K57" s="150"/>
      <c r="L57" s="150"/>
      <c r="M57" s="115"/>
      <c r="N57" s="116"/>
      <c r="O57" s="116"/>
      <c r="P57" s="116"/>
      <c r="Q57" s="116"/>
      <c r="R57" s="116"/>
      <c r="S57" s="116"/>
      <c r="T57" s="117"/>
      <c r="U57" s="118"/>
      <c r="V57" s="118"/>
      <c r="W57" s="118"/>
      <c r="X57" s="118"/>
      <c r="Y57" s="118"/>
      <c r="Z57" s="119"/>
      <c r="AA57" s="123"/>
      <c r="AB57" s="124"/>
      <c r="AC57" s="124"/>
      <c r="AD57" s="124"/>
      <c r="AE57" s="124"/>
      <c r="AF57" s="124"/>
      <c r="AG57" s="124"/>
      <c r="AH57" s="125"/>
      <c r="AI57" s="126"/>
      <c r="AJ57" s="127"/>
      <c r="AK57" s="127"/>
      <c r="AL57" s="127"/>
      <c r="AM57" s="127"/>
      <c r="AN57" s="127"/>
      <c r="AO57" s="128"/>
      <c r="AQ57" s="11"/>
    </row>
    <row r="58" spans="1:74" ht="13.5" customHeight="1">
      <c r="C58" s="10"/>
      <c r="D58" s="150"/>
      <c r="E58" s="150"/>
      <c r="F58" s="150"/>
      <c r="G58" s="150"/>
      <c r="H58" s="150"/>
      <c r="I58" s="150"/>
      <c r="J58" s="150"/>
      <c r="K58" s="150"/>
      <c r="L58" s="150"/>
      <c r="M58" s="138"/>
      <c r="N58" s="139"/>
      <c r="O58" s="139"/>
      <c r="P58" s="139"/>
      <c r="Q58" s="139"/>
      <c r="R58" s="139"/>
      <c r="S58" s="139"/>
      <c r="T58" s="140"/>
      <c r="U58" s="120"/>
      <c r="V58" s="121"/>
      <c r="W58" s="121"/>
      <c r="X58" s="121"/>
      <c r="Y58" s="121"/>
      <c r="Z58" s="122"/>
      <c r="AA58" s="132"/>
      <c r="AB58" s="133"/>
      <c r="AC58" s="133"/>
      <c r="AD58" s="133"/>
      <c r="AE58" s="133"/>
      <c r="AF58" s="133"/>
      <c r="AG58" s="133"/>
      <c r="AH58" s="134"/>
      <c r="AI58" s="135"/>
      <c r="AJ58" s="136"/>
      <c r="AK58" s="136"/>
      <c r="AL58" s="136"/>
      <c r="AM58" s="136"/>
      <c r="AN58" s="136"/>
      <c r="AO58" s="137"/>
      <c r="AQ58" s="11"/>
    </row>
    <row r="59" spans="1:74" ht="13.2" customHeight="1">
      <c r="C59" s="10"/>
      <c r="D59" s="150"/>
      <c r="E59" s="150"/>
      <c r="F59" s="150"/>
      <c r="G59" s="150"/>
      <c r="H59" s="150"/>
      <c r="I59" s="150"/>
      <c r="J59" s="150"/>
      <c r="K59" s="150"/>
      <c r="L59" s="150"/>
      <c r="M59" s="115"/>
      <c r="N59" s="116"/>
      <c r="O59" s="116"/>
      <c r="P59" s="116"/>
      <c r="Q59" s="116"/>
      <c r="R59" s="116"/>
      <c r="S59" s="116"/>
      <c r="T59" s="117"/>
      <c r="U59" s="118"/>
      <c r="V59" s="118"/>
      <c r="W59" s="118"/>
      <c r="X59" s="118"/>
      <c r="Y59" s="118"/>
      <c r="Z59" s="119"/>
      <c r="AA59" s="123"/>
      <c r="AB59" s="124"/>
      <c r="AC59" s="124"/>
      <c r="AD59" s="124"/>
      <c r="AE59" s="124"/>
      <c r="AF59" s="124"/>
      <c r="AG59" s="124"/>
      <c r="AH59" s="125"/>
      <c r="AI59" s="126"/>
      <c r="AJ59" s="127"/>
      <c r="AK59" s="127"/>
      <c r="AL59" s="127"/>
      <c r="AM59" s="127"/>
      <c r="AN59" s="127"/>
      <c r="AO59" s="128"/>
      <c r="AQ59" s="11"/>
    </row>
    <row r="60" spans="1:74" ht="13.2" customHeight="1">
      <c r="C60" s="10"/>
      <c r="D60" s="150"/>
      <c r="E60" s="150"/>
      <c r="F60" s="150"/>
      <c r="G60" s="150"/>
      <c r="H60" s="150"/>
      <c r="I60" s="150"/>
      <c r="J60" s="150"/>
      <c r="K60" s="150"/>
      <c r="L60" s="150"/>
      <c r="M60" s="138"/>
      <c r="N60" s="139"/>
      <c r="O60" s="139"/>
      <c r="P60" s="139"/>
      <c r="Q60" s="139"/>
      <c r="R60" s="139"/>
      <c r="S60" s="139"/>
      <c r="T60" s="140"/>
      <c r="U60" s="120"/>
      <c r="V60" s="121"/>
      <c r="W60" s="121"/>
      <c r="X60" s="121"/>
      <c r="Y60" s="121"/>
      <c r="Z60" s="122"/>
      <c r="AA60" s="132"/>
      <c r="AB60" s="133"/>
      <c r="AC60" s="133"/>
      <c r="AD60" s="133"/>
      <c r="AE60" s="133"/>
      <c r="AF60" s="133"/>
      <c r="AG60" s="133"/>
      <c r="AH60" s="134"/>
      <c r="AI60" s="135"/>
      <c r="AJ60" s="136"/>
      <c r="AK60" s="136"/>
      <c r="AL60" s="136"/>
      <c r="AM60" s="136"/>
      <c r="AN60" s="136"/>
      <c r="AO60" s="137"/>
      <c r="AQ60" s="11"/>
    </row>
    <row r="61" spans="1:74" ht="13.2" customHeight="1">
      <c r="C61" s="10"/>
      <c r="D61" s="150"/>
      <c r="E61" s="150"/>
      <c r="F61" s="150"/>
      <c r="G61" s="150"/>
      <c r="H61" s="150"/>
      <c r="I61" s="150"/>
      <c r="J61" s="150"/>
      <c r="K61" s="150"/>
      <c r="L61" s="150"/>
      <c r="M61" s="115"/>
      <c r="N61" s="116"/>
      <c r="O61" s="116"/>
      <c r="P61" s="116"/>
      <c r="Q61" s="116"/>
      <c r="R61" s="116"/>
      <c r="S61" s="116"/>
      <c r="T61" s="117"/>
      <c r="U61" s="118"/>
      <c r="V61" s="118"/>
      <c r="W61" s="118"/>
      <c r="X61" s="118"/>
      <c r="Y61" s="118"/>
      <c r="Z61" s="119"/>
      <c r="AA61" s="123"/>
      <c r="AB61" s="124"/>
      <c r="AC61" s="124"/>
      <c r="AD61" s="124"/>
      <c r="AE61" s="124"/>
      <c r="AF61" s="124"/>
      <c r="AG61" s="124"/>
      <c r="AH61" s="125"/>
      <c r="AI61" s="126"/>
      <c r="AJ61" s="127"/>
      <c r="AK61" s="127"/>
      <c r="AL61" s="127"/>
      <c r="AM61" s="127"/>
      <c r="AN61" s="127"/>
      <c r="AO61" s="128"/>
      <c r="AQ61" s="11"/>
    </row>
    <row r="62" spans="1:74" ht="13.5" customHeight="1">
      <c r="C62" s="10"/>
      <c r="D62" s="150"/>
      <c r="E62" s="150"/>
      <c r="F62" s="150"/>
      <c r="G62" s="150"/>
      <c r="H62" s="150"/>
      <c r="I62" s="150"/>
      <c r="J62" s="150"/>
      <c r="K62" s="150"/>
      <c r="L62" s="150"/>
      <c r="M62" s="138"/>
      <c r="N62" s="139"/>
      <c r="O62" s="139"/>
      <c r="P62" s="139"/>
      <c r="Q62" s="139"/>
      <c r="R62" s="139"/>
      <c r="S62" s="139"/>
      <c r="T62" s="140"/>
      <c r="U62" s="120"/>
      <c r="V62" s="121"/>
      <c r="W62" s="121"/>
      <c r="X62" s="121"/>
      <c r="Y62" s="121"/>
      <c r="Z62" s="122"/>
      <c r="AA62" s="132"/>
      <c r="AB62" s="133"/>
      <c r="AC62" s="133"/>
      <c r="AD62" s="133"/>
      <c r="AE62" s="133"/>
      <c r="AF62" s="133"/>
      <c r="AG62" s="133"/>
      <c r="AH62" s="134"/>
      <c r="AI62" s="135"/>
      <c r="AJ62" s="136"/>
      <c r="AK62" s="136"/>
      <c r="AL62" s="136"/>
      <c r="AM62" s="136"/>
      <c r="AN62" s="136"/>
      <c r="AO62" s="137"/>
      <c r="AQ62" s="11"/>
    </row>
    <row r="63" spans="1:74" ht="13.5" customHeight="1">
      <c r="C63" s="10"/>
      <c r="D63" s="73"/>
      <c r="E63" s="73"/>
      <c r="F63" s="73"/>
      <c r="G63" s="73"/>
      <c r="H63" s="73"/>
      <c r="I63" s="73"/>
      <c r="J63" s="73"/>
      <c r="K63" s="73"/>
      <c r="L63" s="73"/>
      <c r="M63" s="76"/>
      <c r="N63" s="76"/>
      <c r="O63" s="76"/>
      <c r="P63" s="76"/>
      <c r="Q63" s="76"/>
      <c r="R63" s="76"/>
      <c r="S63" s="76"/>
      <c r="T63" s="77"/>
      <c r="U63" s="77"/>
      <c r="V63" s="77"/>
      <c r="W63" s="77"/>
      <c r="X63" s="77"/>
      <c r="Y63" s="77"/>
      <c r="Z63" s="79"/>
      <c r="AA63" s="79"/>
      <c r="AB63" s="79"/>
      <c r="AC63" s="79"/>
      <c r="AD63" s="79"/>
      <c r="AE63" s="79"/>
      <c r="AF63" s="79"/>
      <c r="AG63" s="79"/>
      <c r="AH63" s="76"/>
      <c r="AI63" s="76"/>
      <c r="AJ63" s="76"/>
      <c r="AK63" s="76"/>
      <c r="AL63" s="76"/>
      <c r="AM63" s="76"/>
      <c r="AN63" s="76"/>
      <c r="AO63" s="14"/>
      <c r="AQ63" s="11"/>
    </row>
    <row r="64" spans="1:74" ht="13.5" customHeight="1">
      <c r="A64" s="18"/>
      <c r="C64" s="17"/>
      <c r="D64" s="75" t="s">
        <v>26</v>
      </c>
      <c r="E64" s="74"/>
      <c r="F64" s="74"/>
      <c r="G64" s="74"/>
      <c r="H64" s="74"/>
      <c r="I64" s="74"/>
      <c r="J64" s="74"/>
      <c r="K64" s="74"/>
      <c r="L64" s="74"/>
      <c r="M64" s="75"/>
      <c r="N64" s="75"/>
      <c r="O64" s="75"/>
      <c r="P64" s="75"/>
      <c r="Q64" s="75"/>
      <c r="R64" s="75"/>
      <c r="S64" s="75"/>
      <c r="T64" s="78"/>
      <c r="U64" s="78"/>
      <c r="V64" s="78"/>
      <c r="W64" s="78"/>
      <c r="X64" s="78"/>
      <c r="Y64" s="78"/>
      <c r="Z64" s="80"/>
      <c r="AA64" s="80"/>
      <c r="AB64" s="80"/>
      <c r="AC64" s="80"/>
      <c r="AD64" s="80"/>
      <c r="AE64" s="80"/>
      <c r="AF64" s="80"/>
      <c r="AG64" s="80"/>
      <c r="AH64" s="75"/>
      <c r="AI64" s="75"/>
      <c r="AJ64" s="75"/>
      <c r="AK64" s="75"/>
      <c r="AL64" s="75"/>
      <c r="AM64" s="75"/>
      <c r="AN64" s="75"/>
      <c r="AO64" s="14"/>
      <c r="AQ64" s="11"/>
      <c r="BO64" s="45"/>
      <c r="BP64" s="45"/>
      <c r="BQ64" s="45"/>
      <c r="BR64" s="45"/>
      <c r="BS64" s="45"/>
      <c r="BT64" s="45"/>
      <c r="BU64" s="45"/>
      <c r="BV64" s="45"/>
    </row>
    <row r="65" spans="1:66" ht="13.5" customHeight="1">
      <c r="C65" s="10"/>
      <c r="D65" s="151" t="s">
        <v>4</v>
      </c>
      <c r="E65" s="152"/>
      <c r="F65" s="152"/>
      <c r="G65" s="152"/>
      <c r="H65" s="152"/>
      <c r="I65" s="152"/>
      <c r="J65" s="152"/>
      <c r="K65" s="152"/>
      <c r="L65" s="153"/>
      <c r="M65" s="30" t="s">
        <v>29</v>
      </c>
      <c r="N65" s="31"/>
      <c r="O65" s="31"/>
      <c r="P65" s="31"/>
      <c r="Q65" s="31"/>
      <c r="R65" s="31"/>
      <c r="S65" s="31"/>
      <c r="T65" s="32"/>
      <c r="U65" s="141" t="s">
        <v>28</v>
      </c>
      <c r="V65" s="142"/>
      <c r="W65" s="142"/>
      <c r="X65" s="142"/>
      <c r="Y65" s="142"/>
      <c r="Z65" s="143"/>
      <c r="AA65" s="33" t="s">
        <v>30</v>
      </c>
      <c r="AB65" s="34"/>
      <c r="AC65" s="34"/>
      <c r="AD65" s="34"/>
      <c r="AE65" s="34"/>
      <c r="AF65" s="34"/>
      <c r="AG65" s="34"/>
      <c r="AH65" s="35"/>
      <c r="AI65" s="33" t="s">
        <v>7</v>
      </c>
      <c r="AJ65" s="34"/>
      <c r="AK65" s="34"/>
      <c r="AL65" s="34"/>
      <c r="AM65" s="34"/>
      <c r="AN65" s="34"/>
      <c r="AO65" s="35"/>
      <c r="AP65" s="28"/>
      <c r="AQ65" s="11"/>
      <c r="BE65" s="55"/>
      <c r="BF65" s="54"/>
      <c r="BG65" s="148"/>
      <c r="BH65" s="148"/>
      <c r="BI65" s="148"/>
      <c r="BJ65" s="148"/>
      <c r="BK65" s="148"/>
      <c r="BL65" s="148"/>
      <c r="BM65" s="148"/>
      <c r="BN65" s="148"/>
    </row>
    <row r="66" spans="1:66" ht="13.5" customHeight="1">
      <c r="C66" s="10"/>
      <c r="D66" s="154"/>
      <c r="E66" s="155"/>
      <c r="F66" s="155"/>
      <c r="G66" s="155"/>
      <c r="H66" s="155"/>
      <c r="I66" s="155"/>
      <c r="J66" s="155"/>
      <c r="K66" s="155"/>
      <c r="L66" s="156"/>
      <c r="M66" s="111" t="s">
        <v>9</v>
      </c>
      <c r="N66" s="112"/>
      <c r="O66" s="112"/>
      <c r="P66" s="112"/>
      <c r="Q66" s="112"/>
      <c r="R66" s="112"/>
      <c r="S66" s="112"/>
      <c r="T66" s="113"/>
      <c r="U66" s="144"/>
      <c r="V66" s="145"/>
      <c r="W66" s="145"/>
      <c r="X66" s="145"/>
      <c r="Y66" s="145"/>
      <c r="Z66" s="146"/>
      <c r="AA66" s="39" t="s">
        <v>10</v>
      </c>
      <c r="AB66" s="40"/>
      <c r="AC66" s="40"/>
      <c r="AD66" s="40"/>
      <c r="AE66" s="40"/>
      <c r="AF66" s="40"/>
      <c r="AG66" s="40"/>
      <c r="AH66" s="41"/>
      <c r="AI66" s="42" t="s">
        <v>8</v>
      </c>
      <c r="AJ66" s="43"/>
      <c r="AK66" s="43"/>
      <c r="AL66" s="43"/>
      <c r="AM66" s="43"/>
      <c r="AN66" s="43"/>
      <c r="AO66" s="44"/>
      <c r="AP66" s="28"/>
      <c r="AQ66" s="11"/>
      <c r="AV66" s="149"/>
      <c r="AW66" s="149"/>
      <c r="AX66" s="149"/>
      <c r="AY66" s="149"/>
      <c r="AZ66" s="149"/>
      <c r="BA66" s="149"/>
      <c r="BB66" s="149"/>
      <c r="BC66" s="149"/>
      <c r="BD66" s="149"/>
      <c r="BE66" s="56"/>
      <c r="BF66" s="54"/>
      <c r="BG66" s="148"/>
      <c r="BH66" s="148"/>
      <c r="BI66" s="148"/>
      <c r="BJ66" s="148"/>
      <c r="BK66" s="148"/>
      <c r="BL66" s="148"/>
      <c r="BM66" s="148"/>
      <c r="BN66" s="148"/>
    </row>
    <row r="67" spans="1:66" ht="13.5" customHeight="1">
      <c r="A67" s="18"/>
      <c r="C67" s="17"/>
      <c r="D67" s="150"/>
      <c r="E67" s="150"/>
      <c r="F67" s="150"/>
      <c r="G67" s="150"/>
      <c r="H67" s="150"/>
      <c r="I67" s="150"/>
      <c r="J67" s="150"/>
      <c r="K67" s="150"/>
      <c r="L67" s="157"/>
      <c r="M67" s="115"/>
      <c r="N67" s="116"/>
      <c r="O67" s="116"/>
      <c r="P67" s="116"/>
      <c r="Q67" s="116"/>
      <c r="R67" s="116"/>
      <c r="S67" s="116"/>
      <c r="T67" s="117"/>
      <c r="U67" s="118"/>
      <c r="V67" s="118"/>
      <c r="W67" s="118"/>
      <c r="X67" s="118"/>
      <c r="Y67" s="118"/>
      <c r="Z67" s="119"/>
      <c r="AA67" s="123"/>
      <c r="AB67" s="124"/>
      <c r="AC67" s="124"/>
      <c r="AD67" s="124"/>
      <c r="AE67" s="124"/>
      <c r="AF67" s="124"/>
      <c r="AG67" s="124"/>
      <c r="AH67" s="125"/>
      <c r="AI67" s="126"/>
      <c r="AJ67" s="127"/>
      <c r="AK67" s="127"/>
      <c r="AL67" s="127"/>
      <c r="AM67" s="127"/>
      <c r="AN67" s="127"/>
      <c r="AO67" s="128"/>
      <c r="AQ67" s="11"/>
      <c r="AV67" s="149"/>
      <c r="AW67" s="149"/>
      <c r="AX67" s="149"/>
      <c r="AY67" s="149"/>
      <c r="AZ67" s="149"/>
      <c r="BA67" s="149"/>
      <c r="BB67" s="149"/>
      <c r="BC67" s="149"/>
      <c r="BD67" s="149"/>
      <c r="BE67" s="55"/>
      <c r="BF67" s="54"/>
      <c r="BG67" s="148"/>
      <c r="BH67" s="148"/>
      <c r="BI67" s="148"/>
      <c r="BJ67" s="148"/>
      <c r="BK67" s="148"/>
      <c r="BL67" s="148"/>
      <c r="BM67" s="148"/>
      <c r="BN67" s="148"/>
    </row>
    <row r="68" spans="1:66" ht="13.2" customHeight="1">
      <c r="C68" s="10"/>
      <c r="D68" s="150"/>
      <c r="E68" s="150"/>
      <c r="F68" s="150"/>
      <c r="G68" s="150"/>
      <c r="H68" s="150"/>
      <c r="I68" s="150"/>
      <c r="J68" s="150"/>
      <c r="K68" s="150"/>
      <c r="L68" s="150"/>
      <c r="M68" s="138"/>
      <c r="N68" s="139"/>
      <c r="O68" s="139"/>
      <c r="P68" s="139"/>
      <c r="Q68" s="139"/>
      <c r="R68" s="139"/>
      <c r="S68" s="139"/>
      <c r="T68" s="140"/>
      <c r="U68" s="120"/>
      <c r="V68" s="121"/>
      <c r="W68" s="121"/>
      <c r="X68" s="121"/>
      <c r="Y68" s="121"/>
      <c r="Z68" s="122"/>
      <c r="AA68" s="132"/>
      <c r="AB68" s="133"/>
      <c r="AC68" s="133"/>
      <c r="AD68" s="133"/>
      <c r="AE68" s="133"/>
      <c r="AF68" s="133"/>
      <c r="AG68" s="133"/>
      <c r="AH68" s="134"/>
      <c r="AI68" s="135"/>
      <c r="AJ68" s="136"/>
      <c r="AK68" s="136"/>
      <c r="AL68" s="136"/>
      <c r="AM68" s="136"/>
      <c r="AN68" s="136"/>
      <c r="AO68" s="137"/>
      <c r="AQ68" s="11"/>
      <c r="AV68" s="149"/>
      <c r="AW68" s="149"/>
      <c r="AX68" s="149"/>
      <c r="AY68" s="149"/>
      <c r="AZ68" s="149"/>
      <c r="BA68" s="149"/>
      <c r="BB68" s="149"/>
      <c r="BC68" s="149"/>
      <c r="BD68" s="149"/>
      <c r="BE68" s="57"/>
      <c r="BF68" s="54"/>
      <c r="BG68" s="148"/>
      <c r="BH68" s="148"/>
      <c r="BI68" s="148"/>
      <c r="BJ68" s="148"/>
      <c r="BK68" s="148"/>
      <c r="BL68" s="148"/>
      <c r="BM68" s="148"/>
      <c r="BN68" s="148"/>
    </row>
    <row r="69" spans="1:66" ht="13.5" customHeight="1">
      <c r="C69" s="10"/>
      <c r="D69" s="150"/>
      <c r="E69" s="150"/>
      <c r="F69" s="150"/>
      <c r="G69" s="150"/>
      <c r="H69" s="150"/>
      <c r="I69" s="150"/>
      <c r="J69" s="150"/>
      <c r="K69" s="150"/>
      <c r="L69" s="150"/>
      <c r="M69" s="115"/>
      <c r="N69" s="116"/>
      <c r="O69" s="116"/>
      <c r="P69" s="116"/>
      <c r="Q69" s="116"/>
      <c r="R69" s="116"/>
      <c r="S69" s="116"/>
      <c r="T69" s="117"/>
      <c r="U69" s="118"/>
      <c r="V69" s="118"/>
      <c r="W69" s="118"/>
      <c r="X69" s="118"/>
      <c r="Y69" s="118"/>
      <c r="Z69" s="119"/>
      <c r="AA69" s="123"/>
      <c r="AB69" s="124"/>
      <c r="AC69" s="124"/>
      <c r="AD69" s="124"/>
      <c r="AE69" s="124"/>
      <c r="AF69" s="124"/>
      <c r="AG69" s="124"/>
      <c r="AH69" s="125"/>
      <c r="AI69" s="126"/>
      <c r="AJ69" s="127"/>
      <c r="AK69" s="127"/>
      <c r="AL69" s="127"/>
      <c r="AM69" s="127"/>
      <c r="AN69" s="127"/>
      <c r="AO69" s="128"/>
      <c r="AQ69" s="11"/>
      <c r="AV69" s="149"/>
      <c r="AW69" s="149"/>
      <c r="AX69" s="149"/>
      <c r="AY69" s="149"/>
      <c r="AZ69" s="149"/>
      <c r="BA69" s="149"/>
      <c r="BB69" s="149"/>
      <c r="BC69" s="149"/>
      <c r="BD69" s="149"/>
      <c r="BE69" s="58"/>
      <c r="BF69" s="54"/>
      <c r="BG69" s="148"/>
      <c r="BH69" s="148"/>
      <c r="BI69" s="148"/>
      <c r="BJ69" s="148"/>
      <c r="BK69" s="148"/>
      <c r="BL69" s="148"/>
      <c r="BM69" s="148"/>
      <c r="BN69" s="148"/>
    </row>
    <row r="70" spans="1:66" ht="13.5" customHeight="1">
      <c r="C70" s="10"/>
      <c r="D70" s="150"/>
      <c r="E70" s="150"/>
      <c r="F70" s="150"/>
      <c r="G70" s="150"/>
      <c r="H70" s="150"/>
      <c r="I70" s="150"/>
      <c r="J70" s="150"/>
      <c r="K70" s="150"/>
      <c r="L70" s="150"/>
      <c r="M70" s="138"/>
      <c r="N70" s="139"/>
      <c r="O70" s="139"/>
      <c r="P70" s="139"/>
      <c r="Q70" s="139"/>
      <c r="R70" s="139"/>
      <c r="S70" s="139"/>
      <c r="T70" s="140"/>
      <c r="U70" s="120"/>
      <c r="V70" s="121"/>
      <c r="W70" s="121"/>
      <c r="X70" s="121"/>
      <c r="Y70" s="121"/>
      <c r="Z70" s="122"/>
      <c r="AA70" s="132"/>
      <c r="AB70" s="133"/>
      <c r="AC70" s="133"/>
      <c r="AD70" s="133"/>
      <c r="AE70" s="133"/>
      <c r="AF70" s="133"/>
      <c r="AG70" s="133"/>
      <c r="AH70" s="134"/>
      <c r="AI70" s="135"/>
      <c r="AJ70" s="136"/>
      <c r="AK70" s="136"/>
      <c r="AL70" s="136"/>
      <c r="AM70" s="136"/>
      <c r="AN70" s="136"/>
      <c r="AO70" s="137"/>
      <c r="AQ70" s="11"/>
      <c r="AV70" s="149"/>
      <c r="AW70" s="149"/>
      <c r="AX70" s="149"/>
      <c r="AY70" s="149"/>
      <c r="AZ70" s="149"/>
      <c r="BA70" s="149"/>
      <c r="BB70" s="149"/>
      <c r="BC70" s="149"/>
      <c r="BD70" s="149"/>
      <c r="BE70" s="58"/>
      <c r="BF70" s="54"/>
      <c r="BG70" s="148"/>
      <c r="BH70" s="148"/>
      <c r="BI70" s="148"/>
      <c r="BJ70" s="148"/>
      <c r="BK70" s="148"/>
      <c r="BL70" s="148"/>
      <c r="BM70" s="148"/>
      <c r="BN70" s="148"/>
    </row>
    <row r="71" spans="1:66" ht="13.2" customHeight="1">
      <c r="C71" s="10"/>
      <c r="D71" s="150"/>
      <c r="E71" s="150"/>
      <c r="F71" s="150"/>
      <c r="G71" s="150"/>
      <c r="H71" s="150"/>
      <c r="I71" s="150"/>
      <c r="J71" s="150"/>
      <c r="K71" s="150"/>
      <c r="L71" s="150"/>
      <c r="M71" s="115"/>
      <c r="N71" s="116"/>
      <c r="O71" s="116"/>
      <c r="P71" s="116"/>
      <c r="Q71" s="116"/>
      <c r="R71" s="116"/>
      <c r="S71" s="116"/>
      <c r="T71" s="117"/>
      <c r="U71" s="118"/>
      <c r="V71" s="118"/>
      <c r="W71" s="118"/>
      <c r="X71" s="118"/>
      <c r="Y71" s="118"/>
      <c r="Z71" s="119"/>
      <c r="AA71" s="123"/>
      <c r="AB71" s="124"/>
      <c r="AC71" s="124"/>
      <c r="AD71" s="124"/>
      <c r="AE71" s="124"/>
      <c r="AF71" s="124"/>
      <c r="AG71" s="124"/>
      <c r="AH71" s="125"/>
      <c r="AI71" s="126"/>
      <c r="AJ71" s="127"/>
      <c r="AK71" s="127"/>
      <c r="AL71" s="127"/>
      <c r="AM71" s="127"/>
      <c r="AN71" s="127"/>
      <c r="AO71" s="128"/>
      <c r="AQ71" s="11"/>
      <c r="AV71" s="149"/>
      <c r="AW71" s="149"/>
      <c r="AX71" s="149"/>
      <c r="AY71" s="149"/>
      <c r="AZ71" s="149"/>
      <c r="BA71" s="149"/>
      <c r="BB71" s="149"/>
      <c r="BC71" s="149"/>
      <c r="BD71" s="149"/>
      <c r="BE71" s="57"/>
      <c r="BF71" s="54"/>
      <c r="BG71" s="148"/>
      <c r="BH71" s="148"/>
      <c r="BI71" s="148"/>
      <c r="BJ71" s="148"/>
      <c r="BK71" s="148"/>
      <c r="BL71" s="148"/>
      <c r="BM71" s="148"/>
      <c r="BN71" s="148"/>
    </row>
    <row r="72" spans="1:66" ht="13.2" customHeight="1">
      <c r="C72" s="10"/>
      <c r="D72" s="150"/>
      <c r="E72" s="150"/>
      <c r="F72" s="150"/>
      <c r="G72" s="150"/>
      <c r="H72" s="150"/>
      <c r="I72" s="150"/>
      <c r="J72" s="150"/>
      <c r="K72" s="150"/>
      <c r="L72" s="150"/>
      <c r="M72" s="138"/>
      <c r="N72" s="139"/>
      <c r="O72" s="139"/>
      <c r="P72" s="139"/>
      <c r="Q72" s="139"/>
      <c r="R72" s="139"/>
      <c r="S72" s="139"/>
      <c r="T72" s="140"/>
      <c r="U72" s="120"/>
      <c r="V72" s="121"/>
      <c r="W72" s="121"/>
      <c r="X72" s="121"/>
      <c r="Y72" s="121"/>
      <c r="Z72" s="122"/>
      <c r="AA72" s="132"/>
      <c r="AB72" s="133"/>
      <c r="AC72" s="133"/>
      <c r="AD72" s="133"/>
      <c r="AE72" s="133"/>
      <c r="AF72" s="133"/>
      <c r="AG72" s="133"/>
      <c r="AH72" s="134"/>
      <c r="AI72" s="135"/>
      <c r="AJ72" s="136"/>
      <c r="AK72" s="136"/>
      <c r="AL72" s="136"/>
      <c r="AM72" s="136"/>
      <c r="AN72" s="136"/>
      <c r="AO72" s="137"/>
      <c r="AQ72" s="11"/>
    </row>
    <row r="73" spans="1:66" ht="13.5" customHeight="1">
      <c r="C73" s="10"/>
      <c r="D73" s="150"/>
      <c r="E73" s="150"/>
      <c r="F73" s="150"/>
      <c r="G73" s="150"/>
      <c r="H73" s="150"/>
      <c r="I73" s="150"/>
      <c r="J73" s="150"/>
      <c r="K73" s="150"/>
      <c r="L73" s="150"/>
      <c r="M73" s="115"/>
      <c r="N73" s="116"/>
      <c r="O73" s="116"/>
      <c r="P73" s="116"/>
      <c r="Q73" s="116"/>
      <c r="R73" s="116"/>
      <c r="S73" s="116"/>
      <c r="T73" s="117"/>
      <c r="U73" s="118"/>
      <c r="V73" s="118"/>
      <c r="W73" s="118"/>
      <c r="X73" s="118"/>
      <c r="Y73" s="118"/>
      <c r="Z73" s="119"/>
      <c r="AA73" s="123"/>
      <c r="AB73" s="124"/>
      <c r="AC73" s="124"/>
      <c r="AD73" s="124"/>
      <c r="AE73" s="124"/>
      <c r="AF73" s="124"/>
      <c r="AG73" s="124"/>
      <c r="AH73" s="125"/>
      <c r="AI73" s="126"/>
      <c r="AJ73" s="127"/>
      <c r="AK73" s="127"/>
      <c r="AL73" s="127"/>
      <c r="AM73" s="127"/>
      <c r="AN73" s="127"/>
      <c r="AO73" s="128"/>
      <c r="AQ73" s="11"/>
    </row>
    <row r="74" spans="1:66" ht="13.5" customHeight="1">
      <c r="C74" s="10"/>
      <c r="D74" s="150"/>
      <c r="E74" s="150"/>
      <c r="F74" s="150"/>
      <c r="G74" s="150"/>
      <c r="H74" s="150"/>
      <c r="I74" s="150"/>
      <c r="J74" s="150"/>
      <c r="K74" s="150"/>
      <c r="L74" s="150"/>
      <c r="M74" s="138"/>
      <c r="N74" s="139"/>
      <c r="O74" s="139"/>
      <c r="P74" s="139"/>
      <c r="Q74" s="139"/>
      <c r="R74" s="139"/>
      <c r="S74" s="139"/>
      <c r="T74" s="140"/>
      <c r="U74" s="120"/>
      <c r="V74" s="121"/>
      <c r="W74" s="121"/>
      <c r="X74" s="121"/>
      <c r="Y74" s="121"/>
      <c r="Z74" s="122"/>
      <c r="AA74" s="132"/>
      <c r="AB74" s="133"/>
      <c r="AC74" s="133"/>
      <c r="AD74" s="133"/>
      <c r="AE74" s="133"/>
      <c r="AF74" s="133"/>
      <c r="AG74" s="133"/>
      <c r="AH74" s="134"/>
      <c r="AI74" s="135"/>
      <c r="AJ74" s="136"/>
      <c r="AK74" s="136"/>
      <c r="AL74" s="136"/>
      <c r="AM74" s="136"/>
      <c r="AN74" s="136"/>
      <c r="AO74" s="137"/>
      <c r="AQ74" s="11"/>
    </row>
    <row r="75" spans="1:66" ht="13.5" customHeight="1">
      <c r="C75" s="10"/>
      <c r="D75" s="150"/>
      <c r="E75" s="150"/>
      <c r="F75" s="150"/>
      <c r="G75" s="150"/>
      <c r="H75" s="150"/>
      <c r="I75" s="150"/>
      <c r="J75" s="150"/>
      <c r="K75" s="150"/>
      <c r="L75" s="150"/>
      <c r="M75" s="115"/>
      <c r="N75" s="116"/>
      <c r="O75" s="116"/>
      <c r="P75" s="116"/>
      <c r="Q75" s="116"/>
      <c r="R75" s="116"/>
      <c r="S75" s="116"/>
      <c r="T75" s="117"/>
      <c r="U75" s="118"/>
      <c r="V75" s="118"/>
      <c r="W75" s="118"/>
      <c r="X75" s="118"/>
      <c r="Y75" s="118"/>
      <c r="Z75" s="119"/>
      <c r="AA75" s="123"/>
      <c r="AB75" s="124"/>
      <c r="AC75" s="124"/>
      <c r="AD75" s="124"/>
      <c r="AE75" s="124"/>
      <c r="AF75" s="124"/>
      <c r="AG75" s="124"/>
      <c r="AH75" s="125"/>
      <c r="AI75" s="126"/>
      <c r="AJ75" s="127"/>
      <c r="AK75" s="127"/>
      <c r="AL75" s="127"/>
      <c r="AM75" s="127"/>
      <c r="AN75" s="127"/>
      <c r="AO75" s="128"/>
      <c r="AQ75" s="11"/>
    </row>
    <row r="76" spans="1:66" ht="13.5" customHeight="1">
      <c r="C76" s="10"/>
      <c r="D76" s="150"/>
      <c r="E76" s="150"/>
      <c r="F76" s="150"/>
      <c r="G76" s="150"/>
      <c r="H76" s="150"/>
      <c r="I76" s="150"/>
      <c r="J76" s="150"/>
      <c r="K76" s="150"/>
      <c r="L76" s="150"/>
      <c r="M76" s="138"/>
      <c r="N76" s="139"/>
      <c r="O76" s="139"/>
      <c r="P76" s="139"/>
      <c r="Q76" s="139"/>
      <c r="R76" s="139"/>
      <c r="S76" s="139"/>
      <c r="T76" s="140"/>
      <c r="U76" s="120"/>
      <c r="V76" s="121"/>
      <c r="W76" s="121"/>
      <c r="X76" s="121"/>
      <c r="Y76" s="121"/>
      <c r="Z76" s="122"/>
      <c r="AA76" s="132"/>
      <c r="AB76" s="133"/>
      <c r="AC76" s="133"/>
      <c r="AD76" s="133"/>
      <c r="AE76" s="133"/>
      <c r="AF76" s="133"/>
      <c r="AG76" s="133"/>
      <c r="AH76" s="134"/>
      <c r="AI76" s="135"/>
      <c r="AJ76" s="136"/>
      <c r="AK76" s="136"/>
      <c r="AL76" s="136"/>
      <c r="AM76" s="136"/>
      <c r="AN76" s="136"/>
      <c r="AO76" s="137"/>
      <c r="AQ76" s="11"/>
    </row>
    <row r="77" spans="1:66" ht="13.5" customHeight="1">
      <c r="C77" s="10"/>
      <c r="D77" s="150"/>
      <c r="E77" s="150"/>
      <c r="F77" s="150"/>
      <c r="G77" s="150"/>
      <c r="H77" s="150"/>
      <c r="I77" s="150"/>
      <c r="J77" s="150"/>
      <c r="K77" s="150"/>
      <c r="L77" s="150"/>
      <c r="M77" s="115"/>
      <c r="N77" s="116"/>
      <c r="O77" s="116"/>
      <c r="P77" s="116"/>
      <c r="Q77" s="116"/>
      <c r="R77" s="116"/>
      <c r="S77" s="116"/>
      <c r="T77" s="117"/>
      <c r="U77" s="118"/>
      <c r="V77" s="118"/>
      <c r="W77" s="118"/>
      <c r="X77" s="118"/>
      <c r="Y77" s="118"/>
      <c r="Z77" s="119"/>
      <c r="AA77" s="123"/>
      <c r="AB77" s="124"/>
      <c r="AC77" s="124"/>
      <c r="AD77" s="124"/>
      <c r="AE77" s="124"/>
      <c r="AF77" s="124"/>
      <c r="AG77" s="124"/>
      <c r="AH77" s="125"/>
      <c r="AI77" s="126"/>
      <c r="AJ77" s="127"/>
      <c r="AK77" s="127"/>
      <c r="AL77" s="127"/>
      <c r="AM77" s="127"/>
      <c r="AN77" s="127"/>
      <c r="AO77" s="128"/>
      <c r="AQ77" s="11"/>
    </row>
    <row r="78" spans="1:66" ht="13.5" customHeight="1">
      <c r="C78" s="10"/>
      <c r="D78" s="150"/>
      <c r="E78" s="150"/>
      <c r="F78" s="150"/>
      <c r="G78" s="150"/>
      <c r="H78" s="150"/>
      <c r="I78" s="150"/>
      <c r="J78" s="150"/>
      <c r="K78" s="150"/>
      <c r="L78" s="150"/>
      <c r="M78" s="138"/>
      <c r="N78" s="139"/>
      <c r="O78" s="139"/>
      <c r="P78" s="139"/>
      <c r="Q78" s="139"/>
      <c r="R78" s="139"/>
      <c r="S78" s="139"/>
      <c r="T78" s="140"/>
      <c r="U78" s="120"/>
      <c r="V78" s="121"/>
      <c r="W78" s="121"/>
      <c r="X78" s="121"/>
      <c r="Y78" s="121"/>
      <c r="Z78" s="122"/>
      <c r="AA78" s="132"/>
      <c r="AB78" s="133"/>
      <c r="AC78" s="133"/>
      <c r="AD78" s="133"/>
      <c r="AE78" s="133"/>
      <c r="AF78" s="133"/>
      <c r="AG78" s="133"/>
      <c r="AH78" s="134"/>
      <c r="AI78" s="135"/>
      <c r="AJ78" s="136"/>
      <c r="AK78" s="136"/>
      <c r="AL78" s="136"/>
      <c r="AM78" s="136"/>
      <c r="AN78" s="136"/>
      <c r="AO78" s="137"/>
      <c r="AQ78" s="11"/>
    </row>
    <row r="79" spans="1:66" ht="13.2" customHeight="1">
      <c r="C79" s="10"/>
      <c r="D79" s="150"/>
      <c r="E79" s="150"/>
      <c r="F79" s="150"/>
      <c r="G79" s="150"/>
      <c r="H79" s="150"/>
      <c r="I79" s="150"/>
      <c r="J79" s="150"/>
      <c r="K79" s="150"/>
      <c r="L79" s="150"/>
      <c r="M79" s="115"/>
      <c r="N79" s="116"/>
      <c r="O79" s="116"/>
      <c r="P79" s="116"/>
      <c r="Q79" s="116"/>
      <c r="R79" s="116"/>
      <c r="S79" s="116"/>
      <c r="T79" s="117"/>
      <c r="U79" s="118"/>
      <c r="V79" s="118"/>
      <c r="W79" s="118"/>
      <c r="X79" s="118"/>
      <c r="Y79" s="118"/>
      <c r="Z79" s="119"/>
      <c r="AA79" s="123"/>
      <c r="AB79" s="124"/>
      <c r="AC79" s="124"/>
      <c r="AD79" s="124"/>
      <c r="AE79" s="124"/>
      <c r="AF79" s="124"/>
      <c r="AG79" s="124"/>
      <c r="AH79" s="125"/>
      <c r="AI79" s="126"/>
      <c r="AJ79" s="127"/>
      <c r="AK79" s="127"/>
      <c r="AL79" s="127"/>
      <c r="AM79" s="127"/>
      <c r="AN79" s="127"/>
      <c r="AO79" s="128"/>
      <c r="AQ79" s="11"/>
    </row>
    <row r="80" spans="1:66" ht="13.2" customHeight="1">
      <c r="C80" s="10"/>
      <c r="D80" s="150"/>
      <c r="E80" s="150"/>
      <c r="F80" s="150"/>
      <c r="G80" s="150"/>
      <c r="H80" s="150"/>
      <c r="I80" s="150"/>
      <c r="J80" s="150"/>
      <c r="K80" s="150"/>
      <c r="L80" s="150"/>
      <c r="M80" s="138"/>
      <c r="N80" s="139"/>
      <c r="O80" s="139"/>
      <c r="P80" s="139"/>
      <c r="Q80" s="139"/>
      <c r="R80" s="139"/>
      <c r="S80" s="139"/>
      <c r="T80" s="140"/>
      <c r="U80" s="120"/>
      <c r="V80" s="121"/>
      <c r="W80" s="121"/>
      <c r="X80" s="121"/>
      <c r="Y80" s="121"/>
      <c r="Z80" s="122"/>
      <c r="AA80" s="132"/>
      <c r="AB80" s="133"/>
      <c r="AC80" s="133"/>
      <c r="AD80" s="133"/>
      <c r="AE80" s="133"/>
      <c r="AF80" s="133"/>
      <c r="AG80" s="133"/>
      <c r="AH80" s="134"/>
      <c r="AI80" s="135"/>
      <c r="AJ80" s="136"/>
      <c r="AK80" s="136"/>
      <c r="AL80" s="136"/>
      <c r="AM80" s="136"/>
      <c r="AN80" s="136"/>
      <c r="AO80" s="137"/>
      <c r="AQ80" s="11"/>
    </row>
    <row r="81" spans="1:74" ht="13.5" customHeight="1">
      <c r="C81" s="17"/>
      <c r="D81" s="150"/>
      <c r="E81" s="150"/>
      <c r="F81" s="150"/>
      <c r="G81" s="150"/>
      <c r="H81" s="150"/>
      <c r="I81" s="150"/>
      <c r="J81" s="150"/>
      <c r="K81" s="150"/>
      <c r="L81" s="150"/>
      <c r="M81" s="115"/>
      <c r="N81" s="116"/>
      <c r="O81" s="116"/>
      <c r="P81" s="116"/>
      <c r="Q81" s="116"/>
      <c r="R81" s="116"/>
      <c r="S81" s="116"/>
      <c r="T81" s="117"/>
      <c r="U81" s="118"/>
      <c r="V81" s="118"/>
      <c r="W81" s="118"/>
      <c r="X81" s="118"/>
      <c r="Y81" s="118"/>
      <c r="Z81" s="119"/>
      <c r="AA81" s="123"/>
      <c r="AB81" s="124"/>
      <c r="AC81" s="124"/>
      <c r="AD81" s="124"/>
      <c r="AE81" s="124"/>
      <c r="AF81" s="124"/>
      <c r="AG81" s="124"/>
      <c r="AH81" s="125"/>
      <c r="AI81" s="126"/>
      <c r="AJ81" s="127"/>
      <c r="AK81" s="127"/>
      <c r="AL81" s="127"/>
      <c r="AM81" s="127"/>
      <c r="AN81" s="127"/>
      <c r="AO81" s="128"/>
      <c r="AQ81" s="11"/>
      <c r="BO81" s="45"/>
      <c r="BP81" s="45"/>
      <c r="BQ81" s="45"/>
      <c r="BR81" s="45"/>
      <c r="BS81" s="45"/>
      <c r="BT81" s="45"/>
      <c r="BU81" s="45"/>
      <c r="BV81" s="45"/>
    </row>
    <row r="82" spans="1:74" ht="13.5" customHeight="1">
      <c r="A82" s="14"/>
      <c r="B82" s="14"/>
      <c r="C82" s="20"/>
      <c r="D82" s="150"/>
      <c r="E82" s="150"/>
      <c r="F82" s="150"/>
      <c r="G82" s="150"/>
      <c r="H82" s="150"/>
      <c r="I82" s="150"/>
      <c r="J82" s="150"/>
      <c r="K82" s="150"/>
      <c r="L82" s="150"/>
      <c r="M82" s="138"/>
      <c r="N82" s="139"/>
      <c r="O82" s="139"/>
      <c r="P82" s="139"/>
      <c r="Q82" s="139"/>
      <c r="R82" s="139"/>
      <c r="S82" s="139"/>
      <c r="T82" s="140"/>
      <c r="U82" s="120"/>
      <c r="V82" s="121"/>
      <c r="W82" s="121"/>
      <c r="X82" s="121"/>
      <c r="Y82" s="121"/>
      <c r="Z82" s="122"/>
      <c r="AA82" s="132"/>
      <c r="AB82" s="133"/>
      <c r="AC82" s="133"/>
      <c r="AD82" s="133"/>
      <c r="AE82" s="133"/>
      <c r="AF82" s="133"/>
      <c r="AG82" s="133"/>
      <c r="AH82" s="134"/>
      <c r="AI82" s="135"/>
      <c r="AJ82" s="136"/>
      <c r="AK82" s="136"/>
      <c r="AL82" s="136"/>
      <c r="AM82" s="136"/>
      <c r="AN82" s="136"/>
      <c r="AO82" s="137"/>
      <c r="AQ82" s="11"/>
      <c r="BO82" s="45"/>
      <c r="BP82" s="45"/>
      <c r="BQ82" s="45"/>
      <c r="BR82" s="45"/>
      <c r="BS82" s="45"/>
      <c r="BT82" s="45"/>
      <c r="BU82" s="45"/>
      <c r="BV82" s="45"/>
    </row>
    <row r="83" spans="1:74" ht="13.5" customHeight="1">
      <c r="A83" s="18"/>
      <c r="C83" s="10"/>
      <c r="D83" s="73"/>
      <c r="E83" s="73"/>
      <c r="F83" s="73"/>
      <c r="G83" s="73"/>
      <c r="H83" s="73"/>
      <c r="I83" s="73"/>
      <c r="J83" s="73"/>
      <c r="K83" s="73"/>
      <c r="L83" s="73"/>
      <c r="M83" s="76"/>
      <c r="N83" s="76"/>
      <c r="O83" s="76"/>
      <c r="P83" s="76"/>
      <c r="Q83" s="76"/>
      <c r="R83" s="76"/>
      <c r="S83" s="76"/>
      <c r="T83" s="77"/>
      <c r="U83" s="77"/>
      <c r="V83" s="77"/>
      <c r="W83" s="77"/>
      <c r="X83" s="77"/>
      <c r="Y83" s="77"/>
      <c r="Z83" s="79"/>
      <c r="AA83" s="79"/>
      <c r="AB83" s="79"/>
      <c r="AC83" s="79"/>
      <c r="AD83" s="79"/>
      <c r="AE83" s="79"/>
      <c r="AF83" s="79"/>
      <c r="AG83" s="79"/>
      <c r="AH83" s="76"/>
      <c r="AI83" s="76"/>
      <c r="AJ83" s="76"/>
      <c r="AK83" s="76"/>
      <c r="AL83" s="76"/>
      <c r="AM83" s="76"/>
      <c r="AN83" s="76"/>
      <c r="AO83" s="14"/>
      <c r="AQ83" s="11"/>
      <c r="BO83" s="45"/>
      <c r="BP83" s="45"/>
      <c r="BQ83" s="45"/>
      <c r="BR83" s="45"/>
      <c r="BS83" s="45"/>
      <c r="BT83" s="45"/>
      <c r="BU83" s="45"/>
      <c r="BV83" s="45"/>
    </row>
    <row r="84" spans="1:74" ht="13.5" customHeight="1">
      <c r="C84" s="10"/>
      <c r="D84" s="75" t="s">
        <v>27</v>
      </c>
      <c r="E84" s="74"/>
      <c r="F84" s="74"/>
      <c r="G84" s="74"/>
      <c r="H84" s="74"/>
      <c r="I84" s="74"/>
      <c r="J84" s="74"/>
      <c r="K84" s="74"/>
      <c r="L84" s="74"/>
      <c r="M84" s="75"/>
      <c r="N84" s="75"/>
      <c r="O84" s="75"/>
      <c r="P84" s="75"/>
      <c r="Q84" s="75"/>
      <c r="R84" s="75"/>
      <c r="S84" s="75"/>
      <c r="T84" s="78"/>
      <c r="U84" s="78"/>
      <c r="V84" s="78"/>
      <c r="W84" s="78"/>
      <c r="X84" s="78"/>
      <c r="Y84" s="78"/>
      <c r="Z84" s="80"/>
      <c r="AA84" s="80"/>
      <c r="AB84" s="80"/>
      <c r="AC84" s="80"/>
      <c r="AD84" s="80"/>
      <c r="AE84" s="80"/>
      <c r="AF84" s="80"/>
      <c r="AG84" s="80"/>
      <c r="AH84" s="75"/>
      <c r="AI84" s="75"/>
      <c r="AJ84" s="75"/>
      <c r="AK84" s="75"/>
      <c r="AL84" s="75"/>
      <c r="AM84" s="75"/>
      <c r="AN84" s="75"/>
      <c r="AO84" s="14"/>
      <c r="AQ84" s="11"/>
      <c r="BO84" s="45"/>
      <c r="BP84" s="45"/>
      <c r="BQ84" s="45"/>
      <c r="BR84" s="45"/>
      <c r="BS84" s="45"/>
      <c r="BT84" s="45"/>
      <c r="BU84" s="45"/>
      <c r="BV84" s="45"/>
    </row>
    <row r="85" spans="1:74" ht="13.5" customHeight="1">
      <c r="C85" s="10"/>
      <c r="D85" s="151" t="s">
        <v>4</v>
      </c>
      <c r="E85" s="152"/>
      <c r="F85" s="152"/>
      <c r="G85" s="152"/>
      <c r="H85" s="152"/>
      <c r="I85" s="152"/>
      <c r="J85" s="152"/>
      <c r="K85" s="152"/>
      <c r="L85" s="153"/>
      <c r="M85" s="30" t="s">
        <v>29</v>
      </c>
      <c r="N85" s="31"/>
      <c r="O85" s="31"/>
      <c r="P85" s="31"/>
      <c r="Q85" s="31"/>
      <c r="R85" s="31"/>
      <c r="S85" s="31"/>
      <c r="T85" s="32"/>
      <c r="U85" s="141" t="s">
        <v>28</v>
      </c>
      <c r="V85" s="142"/>
      <c r="W85" s="142"/>
      <c r="X85" s="142"/>
      <c r="Y85" s="142"/>
      <c r="Z85" s="143"/>
      <c r="AA85" s="33" t="s">
        <v>30</v>
      </c>
      <c r="AB85" s="34"/>
      <c r="AC85" s="34"/>
      <c r="AD85" s="34"/>
      <c r="AE85" s="34"/>
      <c r="AF85" s="34"/>
      <c r="AG85" s="34"/>
      <c r="AH85" s="35"/>
      <c r="AI85" s="33" t="s">
        <v>7</v>
      </c>
      <c r="AJ85" s="34"/>
      <c r="AK85" s="34"/>
      <c r="AL85" s="34"/>
      <c r="AM85" s="34"/>
      <c r="AN85" s="34"/>
      <c r="AO85" s="35"/>
      <c r="AQ85" s="11"/>
      <c r="BO85" s="45"/>
      <c r="BP85" s="45"/>
      <c r="BQ85" s="45"/>
      <c r="BR85" s="45"/>
      <c r="BS85" s="45"/>
      <c r="BT85" s="45"/>
      <c r="BU85" s="45"/>
      <c r="BV85" s="45"/>
    </row>
    <row r="86" spans="1:74" ht="13.5" customHeight="1">
      <c r="C86" s="10"/>
      <c r="D86" s="154"/>
      <c r="E86" s="155"/>
      <c r="F86" s="155"/>
      <c r="G86" s="155"/>
      <c r="H86" s="155"/>
      <c r="I86" s="155"/>
      <c r="J86" s="155"/>
      <c r="K86" s="155"/>
      <c r="L86" s="156"/>
      <c r="M86" s="111" t="s">
        <v>9</v>
      </c>
      <c r="N86" s="112"/>
      <c r="O86" s="112"/>
      <c r="P86" s="112"/>
      <c r="Q86" s="112"/>
      <c r="R86" s="112"/>
      <c r="S86" s="112"/>
      <c r="T86" s="113"/>
      <c r="U86" s="144"/>
      <c r="V86" s="145"/>
      <c r="W86" s="145"/>
      <c r="X86" s="145"/>
      <c r="Y86" s="145"/>
      <c r="Z86" s="146"/>
      <c r="AA86" s="39" t="s">
        <v>10</v>
      </c>
      <c r="AB86" s="40"/>
      <c r="AC86" s="40"/>
      <c r="AD86" s="40"/>
      <c r="AE86" s="40"/>
      <c r="AF86" s="40"/>
      <c r="AG86" s="40"/>
      <c r="AH86" s="41"/>
      <c r="AI86" s="42" t="s">
        <v>8</v>
      </c>
      <c r="AJ86" s="43"/>
      <c r="AK86" s="43"/>
      <c r="AL86" s="43"/>
      <c r="AM86" s="43"/>
      <c r="AN86" s="43"/>
      <c r="AO86" s="44"/>
      <c r="AQ86" s="11"/>
      <c r="BO86" s="45"/>
      <c r="BP86" s="45"/>
      <c r="BQ86" s="45"/>
      <c r="BR86" s="45"/>
      <c r="BS86" s="45"/>
      <c r="BT86" s="45"/>
      <c r="BU86" s="45"/>
      <c r="BV86" s="45"/>
    </row>
    <row r="87" spans="1:74" ht="13.5" customHeight="1">
      <c r="C87" s="10"/>
      <c r="D87" s="150"/>
      <c r="E87" s="150"/>
      <c r="F87" s="150"/>
      <c r="G87" s="150"/>
      <c r="H87" s="150"/>
      <c r="I87" s="150"/>
      <c r="J87" s="150"/>
      <c r="K87" s="150"/>
      <c r="L87" s="157"/>
      <c r="M87" s="115"/>
      <c r="N87" s="116"/>
      <c r="O87" s="116"/>
      <c r="P87" s="116"/>
      <c r="Q87" s="116"/>
      <c r="R87" s="116"/>
      <c r="S87" s="116"/>
      <c r="T87" s="117"/>
      <c r="U87" s="118"/>
      <c r="V87" s="118"/>
      <c r="W87" s="118"/>
      <c r="X87" s="118"/>
      <c r="Y87" s="118"/>
      <c r="Z87" s="119"/>
      <c r="AA87" s="123"/>
      <c r="AB87" s="124"/>
      <c r="AC87" s="124"/>
      <c r="AD87" s="124"/>
      <c r="AE87" s="124"/>
      <c r="AF87" s="124"/>
      <c r="AG87" s="124"/>
      <c r="AH87" s="125"/>
      <c r="AI87" s="126"/>
      <c r="AJ87" s="127"/>
      <c r="AK87" s="127"/>
      <c r="AL87" s="127"/>
      <c r="AM87" s="127"/>
      <c r="AN87" s="127"/>
      <c r="AO87" s="128"/>
      <c r="AQ87" s="11"/>
      <c r="BO87" s="45"/>
      <c r="BP87" s="45"/>
      <c r="BQ87" s="45"/>
      <c r="BR87" s="45"/>
      <c r="BS87" s="45"/>
      <c r="BT87" s="45"/>
      <c r="BU87" s="45"/>
      <c r="BV87" s="45"/>
    </row>
    <row r="88" spans="1:74" ht="13.5" customHeight="1">
      <c r="C88" s="10"/>
      <c r="D88" s="150"/>
      <c r="E88" s="150"/>
      <c r="F88" s="150"/>
      <c r="G88" s="150"/>
      <c r="H88" s="150"/>
      <c r="I88" s="150"/>
      <c r="J88" s="150"/>
      <c r="K88" s="150"/>
      <c r="L88" s="150"/>
      <c r="M88" s="138"/>
      <c r="N88" s="139"/>
      <c r="O88" s="139"/>
      <c r="P88" s="139"/>
      <c r="Q88" s="139"/>
      <c r="R88" s="139"/>
      <c r="S88" s="139"/>
      <c r="T88" s="140"/>
      <c r="U88" s="120"/>
      <c r="V88" s="121"/>
      <c r="W88" s="121"/>
      <c r="X88" s="121"/>
      <c r="Y88" s="121"/>
      <c r="Z88" s="122"/>
      <c r="AA88" s="132"/>
      <c r="AB88" s="133"/>
      <c r="AC88" s="133"/>
      <c r="AD88" s="133"/>
      <c r="AE88" s="133"/>
      <c r="AF88" s="133"/>
      <c r="AG88" s="133"/>
      <c r="AH88" s="134"/>
      <c r="AI88" s="135"/>
      <c r="AJ88" s="136"/>
      <c r="AK88" s="136"/>
      <c r="AL88" s="136"/>
      <c r="AM88" s="136"/>
      <c r="AN88" s="136"/>
      <c r="AO88" s="137"/>
      <c r="AQ88" s="11"/>
      <c r="BO88" s="45"/>
      <c r="BP88" s="45"/>
      <c r="BQ88" s="45"/>
      <c r="BR88" s="45"/>
      <c r="BS88" s="45"/>
      <c r="BT88" s="45"/>
      <c r="BU88" s="45"/>
      <c r="BV88" s="45"/>
    </row>
    <row r="89" spans="1:74" ht="13.5" customHeight="1">
      <c r="C89" s="10"/>
      <c r="D89" s="150"/>
      <c r="E89" s="150"/>
      <c r="F89" s="150"/>
      <c r="G89" s="150"/>
      <c r="H89" s="150"/>
      <c r="I89" s="150"/>
      <c r="J89" s="150"/>
      <c r="K89" s="150"/>
      <c r="L89" s="150"/>
      <c r="M89" s="115"/>
      <c r="N89" s="116"/>
      <c r="O89" s="116"/>
      <c r="P89" s="116"/>
      <c r="Q89" s="116"/>
      <c r="R89" s="116"/>
      <c r="S89" s="116"/>
      <c r="T89" s="117"/>
      <c r="U89" s="118"/>
      <c r="V89" s="118"/>
      <c r="W89" s="118"/>
      <c r="X89" s="118"/>
      <c r="Y89" s="118"/>
      <c r="Z89" s="119"/>
      <c r="AA89" s="123"/>
      <c r="AB89" s="124"/>
      <c r="AC89" s="124"/>
      <c r="AD89" s="124"/>
      <c r="AE89" s="124"/>
      <c r="AF89" s="124"/>
      <c r="AG89" s="124"/>
      <c r="AH89" s="125"/>
      <c r="AI89" s="126"/>
      <c r="AJ89" s="127"/>
      <c r="AK89" s="127"/>
      <c r="AL89" s="127"/>
      <c r="AM89" s="127"/>
      <c r="AN89" s="127"/>
      <c r="AO89" s="128"/>
      <c r="AQ89" s="11"/>
      <c r="BO89" s="45"/>
      <c r="BP89" s="45"/>
      <c r="BQ89" s="45"/>
      <c r="BR89" s="45"/>
      <c r="BS89" s="45"/>
      <c r="BT89" s="45"/>
      <c r="BU89" s="45"/>
      <c r="BV89" s="45"/>
    </row>
    <row r="90" spans="1:74" ht="13.5" customHeight="1">
      <c r="C90" s="10"/>
      <c r="D90" s="150"/>
      <c r="E90" s="150"/>
      <c r="F90" s="150"/>
      <c r="G90" s="150"/>
      <c r="H90" s="150"/>
      <c r="I90" s="150"/>
      <c r="J90" s="150"/>
      <c r="K90" s="150"/>
      <c r="L90" s="150"/>
      <c r="M90" s="138"/>
      <c r="N90" s="139"/>
      <c r="O90" s="139"/>
      <c r="P90" s="139"/>
      <c r="Q90" s="139"/>
      <c r="R90" s="139"/>
      <c r="S90" s="139"/>
      <c r="T90" s="140"/>
      <c r="U90" s="120"/>
      <c r="V90" s="121"/>
      <c r="W90" s="121"/>
      <c r="X90" s="121"/>
      <c r="Y90" s="121"/>
      <c r="Z90" s="122"/>
      <c r="AA90" s="132"/>
      <c r="AB90" s="133"/>
      <c r="AC90" s="133"/>
      <c r="AD90" s="133"/>
      <c r="AE90" s="133"/>
      <c r="AF90" s="133"/>
      <c r="AG90" s="133"/>
      <c r="AH90" s="134"/>
      <c r="AI90" s="135"/>
      <c r="AJ90" s="136"/>
      <c r="AK90" s="136"/>
      <c r="AL90" s="136"/>
      <c r="AM90" s="136"/>
      <c r="AN90" s="136"/>
      <c r="AO90" s="137"/>
      <c r="AQ90" s="11"/>
      <c r="BO90" s="45"/>
      <c r="BP90" s="45"/>
      <c r="BQ90" s="45"/>
      <c r="BR90" s="45"/>
      <c r="BS90" s="45"/>
      <c r="BT90" s="45"/>
      <c r="BU90" s="45"/>
      <c r="BV90" s="45"/>
    </row>
    <row r="91" spans="1:74" ht="13.5" customHeight="1">
      <c r="C91" s="10"/>
      <c r="D91" s="150"/>
      <c r="E91" s="150"/>
      <c r="F91" s="150"/>
      <c r="G91" s="150"/>
      <c r="H91" s="150"/>
      <c r="I91" s="150"/>
      <c r="J91" s="150"/>
      <c r="K91" s="150"/>
      <c r="L91" s="150"/>
      <c r="M91" s="115"/>
      <c r="N91" s="116"/>
      <c r="O91" s="116"/>
      <c r="P91" s="116"/>
      <c r="Q91" s="116"/>
      <c r="R91" s="116"/>
      <c r="S91" s="116"/>
      <c r="T91" s="117"/>
      <c r="U91" s="118"/>
      <c r="V91" s="118"/>
      <c r="W91" s="118"/>
      <c r="X91" s="118"/>
      <c r="Y91" s="118"/>
      <c r="Z91" s="119"/>
      <c r="AA91" s="123"/>
      <c r="AB91" s="124"/>
      <c r="AC91" s="124"/>
      <c r="AD91" s="124"/>
      <c r="AE91" s="124"/>
      <c r="AF91" s="124"/>
      <c r="AG91" s="124"/>
      <c r="AH91" s="125"/>
      <c r="AI91" s="126"/>
      <c r="AJ91" s="127"/>
      <c r="AK91" s="127"/>
      <c r="AL91" s="127"/>
      <c r="AM91" s="127"/>
      <c r="AN91" s="127"/>
      <c r="AO91" s="128"/>
      <c r="AQ91" s="11"/>
      <c r="BO91" s="45"/>
      <c r="BP91" s="45"/>
      <c r="BQ91" s="45"/>
      <c r="BR91" s="45"/>
      <c r="BS91" s="45"/>
      <c r="BT91" s="45"/>
      <c r="BU91" s="45"/>
      <c r="BV91" s="45"/>
    </row>
    <row r="92" spans="1:74" ht="13.5" customHeight="1">
      <c r="C92" s="10"/>
      <c r="D92" s="150"/>
      <c r="E92" s="150"/>
      <c r="F92" s="150"/>
      <c r="G92" s="150"/>
      <c r="H92" s="150"/>
      <c r="I92" s="150"/>
      <c r="J92" s="150"/>
      <c r="K92" s="150"/>
      <c r="L92" s="150"/>
      <c r="M92" s="138"/>
      <c r="N92" s="139"/>
      <c r="O92" s="139"/>
      <c r="P92" s="139"/>
      <c r="Q92" s="139"/>
      <c r="R92" s="139"/>
      <c r="S92" s="139"/>
      <c r="T92" s="140"/>
      <c r="U92" s="120"/>
      <c r="V92" s="121"/>
      <c r="W92" s="121"/>
      <c r="X92" s="121"/>
      <c r="Y92" s="121"/>
      <c r="Z92" s="122"/>
      <c r="AA92" s="132"/>
      <c r="AB92" s="133"/>
      <c r="AC92" s="133"/>
      <c r="AD92" s="133"/>
      <c r="AE92" s="133"/>
      <c r="AF92" s="133"/>
      <c r="AG92" s="133"/>
      <c r="AH92" s="134"/>
      <c r="AI92" s="135"/>
      <c r="AJ92" s="136"/>
      <c r="AK92" s="136"/>
      <c r="AL92" s="136"/>
      <c r="AM92" s="136"/>
      <c r="AN92" s="136"/>
      <c r="AO92" s="137"/>
      <c r="AQ92" s="11"/>
      <c r="BO92" s="45"/>
      <c r="BP92" s="45"/>
      <c r="BQ92" s="45"/>
      <c r="BR92" s="45"/>
      <c r="BS92" s="45"/>
      <c r="BT92" s="45"/>
      <c r="BU92" s="45"/>
      <c r="BV92" s="45"/>
    </row>
    <row r="93" spans="1:74" ht="13.5" customHeight="1">
      <c r="C93" s="10"/>
      <c r="D93" s="150"/>
      <c r="E93" s="150"/>
      <c r="F93" s="150"/>
      <c r="G93" s="150"/>
      <c r="H93" s="150"/>
      <c r="I93" s="150"/>
      <c r="J93" s="150"/>
      <c r="K93" s="150"/>
      <c r="L93" s="150"/>
      <c r="M93" s="115"/>
      <c r="N93" s="116"/>
      <c r="O93" s="116"/>
      <c r="P93" s="116"/>
      <c r="Q93" s="116"/>
      <c r="R93" s="116"/>
      <c r="S93" s="116"/>
      <c r="T93" s="117"/>
      <c r="U93" s="118"/>
      <c r="V93" s="118"/>
      <c r="W93" s="118"/>
      <c r="X93" s="118"/>
      <c r="Y93" s="118"/>
      <c r="Z93" s="119"/>
      <c r="AA93" s="123"/>
      <c r="AB93" s="124"/>
      <c r="AC93" s="124"/>
      <c r="AD93" s="124"/>
      <c r="AE93" s="124"/>
      <c r="AF93" s="124"/>
      <c r="AG93" s="124"/>
      <c r="AH93" s="125"/>
      <c r="AI93" s="126"/>
      <c r="AJ93" s="127"/>
      <c r="AK93" s="127"/>
      <c r="AL93" s="127"/>
      <c r="AM93" s="127"/>
      <c r="AN93" s="127"/>
      <c r="AO93" s="128"/>
      <c r="AQ93" s="11"/>
      <c r="BO93" s="45"/>
      <c r="BP93" s="45"/>
      <c r="BQ93" s="45"/>
      <c r="BR93" s="45"/>
      <c r="BS93" s="45"/>
      <c r="BT93" s="45"/>
      <c r="BU93" s="45"/>
      <c r="BV93" s="45"/>
    </row>
    <row r="94" spans="1:74">
      <c r="C94" s="10"/>
      <c r="D94" s="150"/>
      <c r="E94" s="150"/>
      <c r="F94" s="150"/>
      <c r="G94" s="150"/>
      <c r="H94" s="150"/>
      <c r="I94" s="150"/>
      <c r="J94" s="150"/>
      <c r="K94" s="150"/>
      <c r="L94" s="150"/>
      <c r="M94" s="138"/>
      <c r="N94" s="139"/>
      <c r="O94" s="139"/>
      <c r="P94" s="139"/>
      <c r="Q94" s="139"/>
      <c r="R94" s="139"/>
      <c r="S94" s="139"/>
      <c r="T94" s="140"/>
      <c r="U94" s="120"/>
      <c r="V94" s="121"/>
      <c r="W94" s="121"/>
      <c r="X94" s="121"/>
      <c r="Y94" s="121"/>
      <c r="Z94" s="122"/>
      <c r="AA94" s="132"/>
      <c r="AB94" s="133"/>
      <c r="AC94" s="133"/>
      <c r="AD94" s="133"/>
      <c r="AE94" s="133"/>
      <c r="AF94" s="133"/>
      <c r="AG94" s="133"/>
      <c r="AH94" s="134"/>
      <c r="AI94" s="135"/>
      <c r="AJ94" s="136"/>
      <c r="AK94" s="136"/>
      <c r="AL94" s="136"/>
      <c r="AM94" s="136"/>
      <c r="AN94" s="136"/>
      <c r="AO94" s="137"/>
      <c r="AQ94" s="11"/>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row>
    <row r="95" spans="1:74" ht="14.4" customHeight="1">
      <c r="C95" s="10"/>
      <c r="D95" s="150"/>
      <c r="E95" s="150"/>
      <c r="F95" s="150"/>
      <c r="G95" s="150"/>
      <c r="H95" s="150"/>
      <c r="I95" s="150"/>
      <c r="J95" s="150"/>
      <c r="K95" s="150"/>
      <c r="L95" s="150"/>
      <c r="M95" s="115"/>
      <c r="N95" s="116"/>
      <c r="O95" s="116"/>
      <c r="P95" s="116"/>
      <c r="Q95" s="116"/>
      <c r="R95" s="116"/>
      <c r="S95" s="116"/>
      <c r="T95" s="117"/>
      <c r="U95" s="118"/>
      <c r="V95" s="118"/>
      <c r="W95" s="118"/>
      <c r="X95" s="118"/>
      <c r="Y95" s="118"/>
      <c r="Z95" s="119"/>
      <c r="AA95" s="123"/>
      <c r="AB95" s="124"/>
      <c r="AC95" s="124"/>
      <c r="AD95" s="124"/>
      <c r="AE95" s="124"/>
      <c r="AF95" s="124"/>
      <c r="AG95" s="124"/>
      <c r="AH95" s="125"/>
      <c r="AI95" s="126"/>
      <c r="AJ95" s="127"/>
      <c r="AK95" s="127"/>
      <c r="AL95" s="127"/>
      <c r="AM95" s="127"/>
      <c r="AN95" s="127"/>
      <c r="AO95" s="128"/>
      <c r="AQ95" s="11"/>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row>
    <row r="96" spans="1:74" ht="14.4" customHeight="1">
      <c r="C96" s="10"/>
      <c r="D96" s="150"/>
      <c r="E96" s="150"/>
      <c r="F96" s="150"/>
      <c r="G96" s="150"/>
      <c r="H96" s="150"/>
      <c r="I96" s="150"/>
      <c r="J96" s="150"/>
      <c r="K96" s="150"/>
      <c r="L96" s="150"/>
      <c r="M96" s="138"/>
      <c r="N96" s="139"/>
      <c r="O96" s="139"/>
      <c r="P96" s="139"/>
      <c r="Q96" s="139"/>
      <c r="R96" s="139"/>
      <c r="S96" s="139"/>
      <c r="T96" s="140"/>
      <c r="U96" s="120"/>
      <c r="V96" s="121"/>
      <c r="W96" s="121"/>
      <c r="X96" s="121"/>
      <c r="Y96" s="121"/>
      <c r="Z96" s="122"/>
      <c r="AA96" s="132"/>
      <c r="AB96" s="133"/>
      <c r="AC96" s="133"/>
      <c r="AD96" s="133"/>
      <c r="AE96" s="133"/>
      <c r="AF96" s="133"/>
      <c r="AG96" s="133"/>
      <c r="AH96" s="134"/>
      <c r="AI96" s="135"/>
      <c r="AJ96" s="136"/>
      <c r="AK96" s="136"/>
      <c r="AL96" s="136"/>
      <c r="AM96" s="136"/>
      <c r="AN96" s="136"/>
      <c r="AO96" s="137"/>
      <c r="AQ96" s="11"/>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row>
    <row r="97" spans="3:58" ht="14.4" customHeight="1">
      <c r="C97" s="10"/>
      <c r="D97" s="150"/>
      <c r="E97" s="150"/>
      <c r="F97" s="150"/>
      <c r="G97" s="150"/>
      <c r="H97" s="150"/>
      <c r="I97" s="150"/>
      <c r="J97" s="150"/>
      <c r="K97" s="150"/>
      <c r="L97" s="150"/>
      <c r="M97" s="115"/>
      <c r="N97" s="116"/>
      <c r="O97" s="116"/>
      <c r="P97" s="116"/>
      <c r="Q97" s="116"/>
      <c r="R97" s="116"/>
      <c r="S97" s="116"/>
      <c r="T97" s="117"/>
      <c r="U97" s="118"/>
      <c r="V97" s="118"/>
      <c r="W97" s="118"/>
      <c r="X97" s="118"/>
      <c r="Y97" s="118"/>
      <c r="Z97" s="119"/>
      <c r="AA97" s="123"/>
      <c r="AB97" s="124"/>
      <c r="AC97" s="124"/>
      <c r="AD97" s="124"/>
      <c r="AE97" s="124"/>
      <c r="AF97" s="124"/>
      <c r="AG97" s="124"/>
      <c r="AH97" s="125"/>
      <c r="AI97" s="126"/>
      <c r="AJ97" s="127"/>
      <c r="AK97" s="127"/>
      <c r="AL97" s="127"/>
      <c r="AM97" s="127"/>
      <c r="AN97" s="127"/>
      <c r="AO97" s="128"/>
      <c r="AQ97" s="11"/>
      <c r="AV97" s="45"/>
      <c r="AW97" s="45"/>
      <c r="AX97" s="45"/>
      <c r="AY97" s="45"/>
      <c r="AZ97" s="45"/>
      <c r="BA97" s="45"/>
      <c r="BB97" s="45"/>
      <c r="BC97" s="45"/>
      <c r="BD97" s="45"/>
      <c r="BE97" s="45"/>
      <c r="BF97" s="45"/>
    </row>
    <row r="98" spans="3:58" ht="14.4" customHeight="1">
      <c r="C98" s="10"/>
      <c r="D98" s="150"/>
      <c r="E98" s="150"/>
      <c r="F98" s="150"/>
      <c r="G98" s="150"/>
      <c r="H98" s="150"/>
      <c r="I98" s="150"/>
      <c r="J98" s="150"/>
      <c r="K98" s="150"/>
      <c r="L98" s="150"/>
      <c r="M98" s="138"/>
      <c r="N98" s="139"/>
      <c r="O98" s="139"/>
      <c r="P98" s="139"/>
      <c r="Q98" s="139"/>
      <c r="R98" s="139"/>
      <c r="S98" s="139"/>
      <c r="T98" s="140"/>
      <c r="U98" s="120"/>
      <c r="V98" s="121"/>
      <c r="W98" s="121"/>
      <c r="X98" s="121"/>
      <c r="Y98" s="121"/>
      <c r="Z98" s="122"/>
      <c r="AA98" s="132"/>
      <c r="AB98" s="133"/>
      <c r="AC98" s="133"/>
      <c r="AD98" s="133"/>
      <c r="AE98" s="133"/>
      <c r="AF98" s="133"/>
      <c r="AG98" s="133"/>
      <c r="AH98" s="134"/>
      <c r="AI98" s="135"/>
      <c r="AJ98" s="136"/>
      <c r="AK98" s="136"/>
      <c r="AL98" s="136"/>
      <c r="AM98" s="136"/>
      <c r="AN98" s="136"/>
      <c r="AO98" s="137"/>
      <c r="AQ98" s="11"/>
    </row>
    <row r="99" spans="3:58" ht="14.4" customHeight="1">
      <c r="C99" s="10"/>
      <c r="D99" s="150"/>
      <c r="E99" s="150"/>
      <c r="F99" s="150"/>
      <c r="G99" s="150"/>
      <c r="H99" s="150"/>
      <c r="I99" s="150"/>
      <c r="J99" s="150"/>
      <c r="K99" s="150"/>
      <c r="L99" s="150"/>
      <c r="M99" s="115"/>
      <c r="N99" s="116"/>
      <c r="O99" s="116"/>
      <c r="P99" s="116"/>
      <c r="Q99" s="116"/>
      <c r="R99" s="116"/>
      <c r="S99" s="116"/>
      <c r="T99" s="117"/>
      <c r="U99" s="118"/>
      <c r="V99" s="118"/>
      <c r="W99" s="118"/>
      <c r="X99" s="118"/>
      <c r="Y99" s="118"/>
      <c r="Z99" s="119"/>
      <c r="AA99" s="123"/>
      <c r="AB99" s="124"/>
      <c r="AC99" s="124"/>
      <c r="AD99" s="124"/>
      <c r="AE99" s="124"/>
      <c r="AF99" s="124"/>
      <c r="AG99" s="124"/>
      <c r="AH99" s="125"/>
      <c r="AI99" s="126"/>
      <c r="AJ99" s="127"/>
      <c r="AK99" s="127"/>
      <c r="AL99" s="127"/>
      <c r="AM99" s="127"/>
      <c r="AN99" s="127"/>
      <c r="AO99" s="128"/>
      <c r="AQ99" s="11"/>
    </row>
    <row r="100" spans="3:58" ht="14.4" customHeight="1">
      <c r="C100" s="10"/>
      <c r="D100" s="150"/>
      <c r="E100" s="150"/>
      <c r="F100" s="150"/>
      <c r="G100" s="150"/>
      <c r="H100" s="150"/>
      <c r="I100" s="150"/>
      <c r="J100" s="150"/>
      <c r="K100" s="150"/>
      <c r="L100" s="150"/>
      <c r="M100" s="138"/>
      <c r="N100" s="139"/>
      <c r="O100" s="139"/>
      <c r="P100" s="139"/>
      <c r="Q100" s="139"/>
      <c r="R100" s="139"/>
      <c r="S100" s="139"/>
      <c r="T100" s="140"/>
      <c r="U100" s="120"/>
      <c r="V100" s="121"/>
      <c r="W100" s="121"/>
      <c r="X100" s="121"/>
      <c r="Y100" s="121"/>
      <c r="Z100" s="122"/>
      <c r="AA100" s="132"/>
      <c r="AB100" s="133"/>
      <c r="AC100" s="133"/>
      <c r="AD100" s="133"/>
      <c r="AE100" s="133"/>
      <c r="AF100" s="133"/>
      <c r="AG100" s="133"/>
      <c r="AH100" s="134"/>
      <c r="AI100" s="135"/>
      <c r="AJ100" s="136"/>
      <c r="AK100" s="136"/>
      <c r="AL100" s="136"/>
      <c r="AM100" s="136"/>
      <c r="AN100" s="136"/>
      <c r="AO100" s="137"/>
      <c r="AQ100" s="11"/>
    </row>
    <row r="101" spans="3:58" ht="14.4" customHeight="1">
      <c r="C101" s="10"/>
      <c r="D101" s="150"/>
      <c r="E101" s="150"/>
      <c r="F101" s="150"/>
      <c r="G101" s="150"/>
      <c r="H101" s="150"/>
      <c r="I101" s="150"/>
      <c r="J101" s="150"/>
      <c r="K101" s="150"/>
      <c r="L101" s="150"/>
      <c r="M101" s="115"/>
      <c r="N101" s="116"/>
      <c r="O101" s="116"/>
      <c r="P101" s="116"/>
      <c r="Q101" s="116"/>
      <c r="R101" s="116"/>
      <c r="S101" s="116"/>
      <c r="T101" s="117"/>
      <c r="U101" s="118"/>
      <c r="V101" s="118"/>
      <c r="W101" s="118"/>
      <c r="X101" s="118"/>
      <c r="Y101" s="118"/>
      <c r="Z101" s="119"/>
      <c r="AA101" s="123"/>
      <c r="AB101" s="124"/>
      <c r="AC101" s="124"/>
      <c r="AD101" s="124"/>
      <c r="AE101" s="124"/>
      <c r="AF101" s="124"/>
      <c r="AG101" s="124"/>
      <c r="AH101" s="125"/>
      <c r="AI101" s="126"/>
      <c r="AJ101" s="127"/>
      <c r="AK101" s="127"/>
      <c r="AL101" s="127"/>
      <c r="AM101" s="127"/>
      <c r="AN101" s="127"/>
      <c r="AO101" s="128"/>
      <c r="AQ101" s="11"/>
    </row>
    <row r="102" spans="3:58" ht="14.4" customHeight="1">
      <c r="C102" s="10"/>
      <c r="D102" s="150"/>
      <c r="E102" s="150"/>
      <c r="F102" s="150"/>
      <c r="G102" s="150"/>
      <c r="H102" s="150"/>
      <c r="I102" s="150"/>
      <c r="J102" s="150"/>
      <c r="K102" s="150"/>
      <c r="L102" s="150"/>
      <c r="M102" s="138"/>
      <c r="N102" s="139"/>
      <c r="O102" s="139"/>
      <c r="P102" s="139"/>
      <c r="Q102" s="139"/>
      <c r="R102" s="139"/>
      <c r="S102" s="139"/>
      <c r="T102" s="140"/>
      <c r="U102" s="120"/>
      <c r="V102" s="121"/>
      <c r="W102" s="121"/>
      <c r="X102" s="121"/>
      <c r="Y102" s="121"/>
      <c r="Z102" s="122"/>
      <c r="AA102" s="132"/>
      <c r="AB102" s="133"/>
      <c r="AC102" s="133"/>
      <c r="AD102" s="133"/>
      <c r="AE102" s="133"/>
      <c r="AF102" s="133"/>
      <c r="AG102" s="133"/>
      <c r="AH102" s="134"/>
      <c r="AI102" s="135"/>
      <c r="AJ102" s="136"/>
      <c r="AK102" s="136"/>
      <c r="AL102" s="136"/>
      <c r="AM102" s="136"/>
      <c r="AN102" s="136"/>
      <c r="AO102" s="137"/>
      <c r="AQ102" s="11"/>
    </row>
    <row r="103" spans="3:58" ht="14.4" customHeight="1">
      <c r="C103" s="10"/>
      <c r="D103" s="150"/>
      <c r="E103" s="150"/>
      <c r="F103" s="150"/>
      <c r="G103" s="150"/>
      <c r="H103" s="150"/>
      <c r="I103" s="150"/>
      <c r="J103" s="150"/>
      <c r="K103" s="150"/>
      <c r="L103" s="150"/>
      <c r="M103" s="115"/>
      <c r="N103" s="116"/>
      <c r="O103" s="116"/>
      <c r="P103" s="116"/>
      <c r="Q103" s="116"/>
      <c r="R103" s="116"/>
      <c r="S103" s="116"/>
      <c r="T103" s="117"/>
      <c r="U103" s="118"/>
      <c r="V103" s="118"/>
      <c r="W103" s="118"/>
      <c r="X103" s="118"/>
      <c r="Y103" s="118"/>
      <c r="Z103" s="119"/>
      <c r="AA103" s="123"/>
      <c r="AB103" s="124"/>
      <c r="AC103" s="124"/>
      <c r="AD103" s="124"/>
      <c r="AE103" s="124"/>
      <c r="AF103" s="124"/>
      <c r="AG103" s="124"/>
      <c r="AH103" s="125"/>
      <c r="AI103" s="126"/>
      <c r="AJ103" s="127"/>
      <c r="AK103" s="127"/>
      <c r="AL103" s="127"/>
      <c r="AM103" s="127"/>
      <c r="AN103" s="127"/>
      <c r="AO103" s="128"/>
      <c r="AQ103" s="11"/>
    </row>
    <row r="104" spans="3:58" ht="14.4" customHeight="1">
      <c r="C104" s="10"/>
      <c r="D104" s="150"/>
      <c r="E104" s="150"/>
      <c r="F104" s="150"/>
      <c r="G104" s="150"/>
      <c r="H104" s="150"/>
      <c r="I104" s="150"/>
      <c r="J104" s="150"/>
      <c r="K104" s="150"/>
      <c r="L104" s="150"/>
      <c r="M104" s="138"/>
      <c r="N104" s="139"/>
      <c r="O104" s="139"/>
      <c r="P104" s="139"/>
      <c r="Q104" s="139"/>
      <c r="R104" s="139"/>
      <c r="S104" s="139"/>
      <c r="T104" s="140"/>
      <c r="U104" s="120"/>
      <c r="V104" s="121"/>
      <c r="W104" s="121"/>
      <c r="X104" s="121"/>
      <c r="Y104" s="121"/>
      <c r="Z104" s="122"/>
      <c r="AA104" s="132"/>
      <c r="AB104" s="133"/>
      <c r="AC104" s="133"/>
      <c r="AD104" s="133"/>
      <c r="AE104" s="133"/>
      <c r="AF104" s="133"/>
      <c r="AG104" s="133"/>
      <c r="AH104" s="134"/>
      <c r="AI104" s="135"/>
      <c r="AJ104" s="136"/>
      <c r="AK104" s="136"/>
      <c r="AL104" s="136"/>
      <c r="AM104" s="136"/>
      <c r="AN104" s="136"/>
      <c r="AO104" s="137"/>
      <c r="AQ104" s="11"/>
    </row>
    <row r="105" spans="3:58" ht="14.4" customHeight="1">
      <c r="C105" s="10"/>
      <c r="D105" s="150"/>
      <c r="E105" s="150"/>
      <c r="F105" s="150"/>
      <c r="G105" s="150"/>
      <c r="H105" s="150"/>
      <c r="I105" s="150"/>
      <c r="J105" s="150"/>
      <c r="K105" s="150"/>
      <c r="L105" s="150"/>
      <c r="M105" s="115"/>
      <c r="N105" s="116"/>
      <c r="O105" s="116"/>
      <c r="P105" s="116"/>
      <c r="Q105" s="116"/>
      <c r="R105" s="116"/>
      <c r="S105" s="116"/>
      <c r="T105" s="117"/>
      <c r="U105" s="118"/>
      <c r="V105" s="118"/>
      <c r="W105" s="118"/>
      <c r="X105" s="118"/>
      <c r="Y105" s="118"/>
      <c r="Z105" s="119"/>
      <c r="AA105" s="123"/>
      <c r="AB105" s="124"/>
      <c r="AC105" s="124"/>
      <c r="AD105" s="124"/>
      <c r="AE105" s="124"/>
      <c r="AF105" s="124"/>
      <c r="AG105" s="124"/>
      <c r="AH105" s="125"/>
      <c r="AI105" s="126"/>
      <c r="AJ105" s="127"/>
      <c r="AK105" s="127"/>
      <c r="AL105" s="127"/>
      <c r="AM105" s="127"/>
      <c r="AN105" s="127"/>
      <c r="AO105" s="128"/>
      <c r="AQ105" s="11"/>
    </row>
    <row r="106" spans="3:58" ht="14.4" customHeight="1">
      <c r="C106" s="10"/>
      <c r="D106" s="150"/>
      <c r="E106" s="150"/>
      <c r="F106" s="150"/>
      <c r="G106" s="150"/>
      <c r="H106" s="150"/>
      <c r="I106" s="150"/>
      <c r="J106" s="150"/>
      <c r="K106" s="150"/>
      <c r="L106" s="150"/>
      <c r="M106" s="138"/>
      <c r="N106" s="139"/>
      <c r="O106" s="139"/>
      <c r="P106" s="139"/>
      <c r="Q106" s="139"/>
      <c r="R106" s="139"/>
      <c r="S106" s="139"/>
      <c r="T106" s="140"/>
      <c r="U106" s="120"/>
      <c r="V106" s="121"/>
      <c r="W106" s="121"/>
      <c r="X106" s="121"/>
      <c r="Y106" s="121"/>
      <c r="Z106" s="122"/>
      <c r="AA106" s="132"/>
      <c r="AB106" s="133"/>
      <c r="AC106" s="133"/>
      <c r="AD106" s="133"/>
      <c r="AE106" s="133"/>
      <c r="AF106" s="133"/>
      <c r="AG106" s="133"/>
      <c r="AH106" s="134"/>
      <c r="AI106" s="135"/>
      <c r="AJ106" s="136"/>
      <c r="AK106" s="136"/>
      <c r="AL106" s="136"/>
      <c r="AM106" s="136"/>
      <c r="AN106" s="136"/>
      <c r="AO106" s="137"/>
      <c r="AQ106" s="11"/>
    </row>
    <row r="107" spans="3:58" ht="14.4" customHeight="1">
      <c r="C107" s="10"/>
      <c r="D107" s="150"/>
      <c r="E107" s="150"/>
      <c r="F107" s="150"/>
      <c r="G107" s="150"/>
      <c r="H107" s="150"/>
      <c r="I107" s="150"/>
      <c r="J107" s="150"/>
      <c r="K107" s="150"/>
      <c r="L107" s="150"/>
      <c r="M107" s="115"/>
      <c r="N107" s="116"/>
      <c r="O107" s="116"/>
      <c r="P107" s="116"/>
      <c r="Q107" s="116"/>
      <c r="R107" s="116"/>
      <c r="S107" s="116"/>
      <c r="T107" s="117"/>
      <c r="U107" s="118"/>
      <c r="V107" s="118"/>
      <c r="W107" s="118"/>
      <c r="X107" s="118"/>
      <c r="Y107" s="118"/>
      <c r="Z107" s="119"/>
      <c r="AA107" s="123"/>
      <c r="AB107" s="124"/>
      <c r="AC107" s="124"/>
      <c r="AD107" s="124"/>
      <c r="AE107" s="124"/>
      <c r="AF107" s="124"/>
      <c r="AG107" s="124"/>
      <c r="AH107" s="125"/>
      <c r="AI107" s="126"/>
      <c r="AJ107" s="127"/>
      <c r="AK107" s="127"/>
      <c r="AL107" s="127"/>
      <c r="AM107" s="127"/>
      <c r="AN107" s="127"/>
      <c r="AO107" s="128"/>
      <c r="AQ107" s="11"/>
    </row>
    <row r="108" spans="3:58" ht="14.4" customHeight="1">
      <c r="C108" s="10"/>
      <c r="D108" s="150"/>
      <c r="E108" s="150"/>
      <c r="F108" s="150"/>
      <c r="G108" s="150"/>
      <c r="H108" s="150"/>
      <c r="I108" s="150"/>
      <c r="J108" s="150"/>
      <c r="K108" s="150"/>
      <c r="L108" s="150"/>
      <c r="M108" s="138"/>
      <c r="N108" s="139"/>
      <c r="O108" s="139"/>
      <c r="P108" s="139"/>
      <c r="Q108" s="139"/>
      <c r="R108" s="139"/>
      <c r="S108" s="139"/>
      <c r="T108" s="140"/>
      <c r="U108" s="120"/>
      <c r="V108" s="121"/>
      <c r="W108" s="121"/>
      <c r="X108" s="121"/>
      <c r="Y108" s="121"/>
      <c r="Z108" s="122"/>
      <c r="AA108" s="132"/>
      <c r="AB108" s="133"/>
      <c r="AC108" s="133"/>
      <c r="AD108" s="133"/>
      <c r="AE108" s="133"/>
      <c r="AF108" s="133"/>
      <c r="AG108" s="133"/>
      <c r="AH108" s="134"/>
      <c r="AI108" s="135"/>
      <c r="AJ108" s="136"/>
      <c r="AK108" s="136"/>
      <c r="AL108" s="136"/>
      <c r="AM108" s="136"/>
      <c r="AN108" s="136"/>
      <c r="AO108" s="137"/>
      <c r="AQ108" s="11"/>
    </row>
    <row r="109" spans="3:58" ht="14.4" customHeight="1">
      <c r="C109" s="10"/>
      <c r="D109" s="150"/>
      <c r="E109" s="150"/>
      <c r="F109" s="150"/>
      <c r="G109" s="150"/>
      <c r="H109" s="150"/>
      <c r="I109" s="150"/>
      <c r="J109" s="150"/>
      <c r="K109" s="150"/>
      <c r="L109" s="150"/>
      <c r="M109" s="115"/>
      <c r="N109" s="116"/>
      <c r="O109" s="116"/>
      <c r="P109" s="116"/>
      <c r="Q109" s="116"/>
      <c r="R109" s="116"/>
      <c r="S109" s="116"/>
      <c r="T109" s="117"/>
      <c r="U109" s="118"/>
      <c r="V109" s="118"/>
      <c r="W109" s="118"/>
      <c r="X109" s="118"/>
      <c r="Y109" s="118"/>
      <c r="Z109" s="119"/>
      <c r="AA109" s="123"/>
      <c r="AB109" s="124"/>
      <c r="AC109" s="124"/>
      <c r="AD109" s="124"/>
      <c r="AE109" s="124"/>
      <c r="AF109" s="124"/>
      <c r="AG109" s="124"/>
      <c r="AH109" s="125"/>
      <c r="AI109" s="126"/>
      <c r="AJ109" s="127"/>
      <c r="AK109" s="127"/>
      <c r="AL109" s="127"/>
      <c r="AM109" s="127"/>
      <c r="AN109" s="127"/>
      <c r="AO109" s="128"/>
      <c r="AQ109" s="11"/>
    </row>
    <row r="110" spans="3:58" ht="14.4" customHeight="1">
      <c r="C110" s="10"/>
      <c r="D110" s="150"/>
      <c r="E110" s="150"/>
      <c r="F110" s="150"/>
      <c r="G110" s="150"/>
      <c r="H110" s="150"/>
      <c r="I110" s="150"/>
      <c r="J110" s="150"/>
      <c r="K110" s="150"/>
      <c r="L110" s="150"/>
      <c r="M110" s="129"/>
      <c r="N110" s="130"/>
      <c r="O110" s="130"/>
      <c r="P110" s="130"/>
      <c r="Q110" s="130"/>
      <c r="R110" s="130"/>
      <c r="S110" s="130"/>
      <c r="T110" s="131"/>
      <c r="U110" s="120"/>
      <c r="V110" s="121"/>
      <c r="W110" s="121"/>
      <c r="X110" s="121"/>
      <c r="Y110" s="121"/>
      <c r="Z110" s="122"/>
      <c r="AA110" s="132"/>
      <c r="AB110" s="133"/>
      <c r="AC110" s="133"/>
      <c r="AD110" s="133"/>
      <c r="AE110" s="133"/>
      <c r="AF110" s="133"/>
      <c r="AG110" s="133"/>
      <c r="AH110" s="134"/>
      <c r="AI110" s="135"/>
      <c r="AJ110" s="136"/>
      <c r="AK110" s="136"/>
      <c r="AL110" s="136"/>
      <c r="AM110" s="136"/>
      <c r="AN110" s="136"/>
      <c r="AO110" s="137"/>
      <c r="AQ110" s="11"/>
    </row>
    <row r="111" spans="3:58" ht="14.4" customHeight="1">
      <c r="C111" s="10"/>
      <c r="AQ111" s="11"/>
    </row>
    <row r="112" spans="3:58" ht="14.4" customHeight="1">
      <c r="C112" s="23"/>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5"/>
    </row>
    <row r="113" ht="14.4" customHeight="1"/>
    <row r="114" ht="14.4" customHeight="1"/>
    <row r="115" ht="14.4" customHeight="1"/>
    <row r="116" ht="14.4" customHeight="1"/>
    <row r="117" ht="14.4" customHeight="1"/>
    <row r="118" ht="14.4" customHeight="1"/>
    <row r="119" ht="14.4" customHeight="1"/>
    <row r="120" ht="14.4" customHeight="1"/>
    <row r="121" ht="14.4" customHeight="1"/>
    <row r="122" ht="14.4" customHeight="1"/>
    <row r="123" ht="14.4" customHeight="1"/>
    <row r="124" ht="14.4" customHeight="1"/>
    <row r="125" ht="14.4" customHeight="1"/>
    <row r="126" ht="14.4" customHeight="1"/>
    <row r="127" ht="14.4" customHeight="1"/>
    <row r="128" ht="14.4" customHeight="1"/>
    <row r="129" ht="14.4" customHeight="1"/>
    <row r="130" ht="14.4" customHeight="1"/>
    <row r="131" ht="14.4" customHeight="1"/>
    <row r="132" ht="14.4" customHeight="1"/>
    <row r="133" ht="14.4" customHeight="1"/>
    <row r="134" ht="14.4" customHeight="1"/>
    <row r="135" ht="14.4" customHeight="1"/>
    <row r="136" ht="14.4" customHeight="1"/>
    <row r="137" ht="14.4" customHeight="1"/>
    <row r="138" ht="14.4" customHeight="1"/>
    <row r="139" ht="14.4" customHeight="1"/>
    <row r="140" ht="14.4" customHeight="1"/>
    <row r="141" ht="14.4" customHeight="1"/>
    <row r="142" ht="14.4" customHeight="1"/>
    <row r="143" ht="14.4" customHeight="1"/>
    <row r="144" ht="14.4" customHeight="1"/>
    <row r="145" ht="14.4" customHeight="1"/>
    <row r="146" ht="14.4" customHeight="1"/>
    <row r="147" ht="14.4" customHeight="1"/>
    <row r="148" ht="14.4" customHeight="1"/>
    <row r="149" ht="14.4" customHeight="1"/>
    <row r="150" ht="14.4" customHeight="1"/>
    <row r="151" ht="14.4" customHeight="1"/>
    <row r="152" ht="14.4" customHeight="1"/>
    <row r="153" ht="14.4" customHeight="1"/>
    <row r="154" ht="14.4" customHeight="1"/>
    <row r="155" ht="14.4" customHeight="1"/>
    <row r="156" ht="14.4" customHeight="1"/>
    <row r="157" ht="14.4" customHeight="1"/>
    <row r="158" ht="14.4" customHeight="1"/>
    <row r="159" ht="14.4" customHeight="1"/>
    <row r="160" ht="14.4" customHeight="1"/>
    <row r="161" ht="14.4" customHeight="1"/>
    <row r="162" ht="14.4" customHeight="1"/>
    <row r="163" ht="14.4" customHeight="1"/>
    <row r="164" ht="14.4" customHeight="1"/>
    <row r="165" ht="14.4" customHeight="1"/>
    <row r="166" ht="14.4" customHeight="1"/>
    <row r="167" ht="14.4" customHeight="1"/>
    <row r="168" ht="14.4" customHeight="1"/>
    <row r="169" ht="14.4" customHeight="1"/>
    <row r="170" ht="14.4" customHeight="1"/>
    <row r="171" ht="14.4" customHeight="1"/>
    <row r="172" ht="14.4" customHeight="1"/>
    <row r="173" ht="14.4" customHeight="1"/>
    <row r="174" ht="14.4" customHeight="1"/>
    <row r="175" ht="14.4" customHeight="1"/>
    <row r="176" ht="14.4" customHeight="1"/>
    <row r="177" ht="14.4" customHeight="1"/>
    <row r="178" ht="14.4" customHeight="1"/>
    <row r="179" ht="14.4" customHeight="1"/>
    <row r="180" ht="14.4" customHeight="1"/>
    <row r="181" ht="14.4" customHeight="1"/>
    <row r="182" ht="14.4" customHeight="1"/>
    <row r="183" ht="14.4" customHeight="1"/>
    <row r="184" ht="14.4" customHeight="1"/>
    <row r="185" ht="14.4" customHeight="1"/>
    <row r="186" ht="14.4" customHeight="1"/>
    <row r="187" ht="14.4" customHeight="1"/>
    <row r="188" ht="14.4" customHeight="1"/>
    <row r="189" ht="14.4" customHeight="1"/>
    <row r="190" ht="14.4"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sheetData>
  <mergeCells count="392">
    <mergeCell ref="D91:L92"/>
    <mergeCell ref="D97:L98"/>
    <mergeCell ref="D93:L94"/>
    <mergeCell ref="D95:L96"/>
    <mergeCell ref="D85:L86"/>
    <mergeCell ref="BG67:BN67"/>
    <mergeCell ref="BG68:BN68"/>
    <mergeCell ref="D87:L88"/>
    <mergeCell ref="AV69:BD71"/>
    <mergeCell ref="BG69:BN69"/>
    <mergeCell ref="BG70:BN70"/>
    <mergeCell ref="D89:L90"/>
    <mergeCell ref="BG71:BN71"/>
    <mergeCell ref="D81:L82"/>
    <mergeCell ref="BG65:BN65"/>
    <mergeCell ref="U75:Z76"/>
    <mergeCell ref="AA75:AH75"/>
    <mergeCell ref="AI75:AO75"/>
    <mergeCell ref="M76:T76"/>
    <mergeCell ref="AA76:AH76"/>
    <mergeCell ref="AI76:AO76"/>
    <mergeCell ref="U79:Z80"/>
    <mergeCell ref="AA79:AH79"/>
    <mergeCell ref="AI79:AO79"/>
    <mergeCell ref="M80:T80"/>
    <mergeCell ref="AA80:AH80"/>
    <mergeCell ref="AI80:AO80"/>
    <mergeCell ref="M81:T81"/>
    <mergeCell ref="U81:Z82"/>
    <mergeCell ref="AA81:AH81"/>
    <mergeCell ref="AV66:BD68"/>
    <mergeCell ref="BG66:BN66"/>
    <mergeCell ref="D77:L78"/>
    <mergeCell ref="D79:L80"/>
    <mergeCell ref="M77:T77"/>
    <mergeCell ref="U77:Z78"/>
    <mergeCell ref="AA77:AH77"/>
    <mergeCell ref="AI77:AO77"/>
    <mergeCell ref="M78:T78"/>
    <mergeCell ref="AA78:AH78"/>
    <mergeCell ref="AI78:AO78"/>
    <mergeCell ref="M79:T79"/>
    <mergeCell ref="D73:L74"/>
    <mergeCell ref="D75:L76"/>
    <mergeCell ref="M73:T73"/>
    <mergeCell ref="U73:Z74"/>
    <mergeCell ref="AA73:AH73"/>
    <mergeCell ref="AI73:AO73"/>
    <mergeCell ref="M74:T74"/>
    <mergeCell ref="AA74:AH74"/>
    <mergeCell ref="AI74:AO74"/>
    <mergeCell ref="M75:T75"/>
    <mergeCell ref="D69:L70"/>
    <mergeCell ref="BG51:BN51"/>
    <mergeCell ref="D71:L72"/>
    <mergeCell ref="M71:T71"/>
    <mergeCell ref="U71:Z72"/>
    <mergeCell ref="AA71:AH71"/>
    <mergeCell ref="AI71:AO71"/>
    <mergeCell ref="M72:T72"/>
    <mergeCell ref="AA72:AH72"/>
    <mergeCell ref="AI72:AO72"/>
    <mergeCell ref="BG45:BN45"/>
    <mergeCell ref="AV46:BD48"/>
    <mergeCell ref="BG46:BN46"/>
    <mergeCell ref="D65:L66"/>
    <mergeCell ref="BG47:BN47"/>
    <mergeCell ref="BG48:BN48"/>
    <mergeCell ref="D67:L68"/>
    <mergeCell ref="AV49:BD51"/>
    <mergeCell ref="BG49:BN49"/>
    <mergeCell ref="BG50:BN50"/>
    <mergeCell ref="D109:L110"/>
    <mergeCell ref="D107:L108"/>
    <mergeCell ref="M109:T109"/>
    <mergeCell ref="U109:Z110"/>
    <mergeCell ref="AA109:AH109"/>
    <mergeCell ref="AI109:AO109"/>
    <mergeCell ref="M110:T110"/>
    <mergeCell ref="AA110:AH110"/>
    <mergeCell ref="AI110:AO110"/>
    <mergeCell ref="D103:L104"/>
    <mergeCell ref="D105:L106"/>
    <mergeCell ref="M103:T103"/>
    <mergeCell ref="U103:Z104"/>
    <mergeCell ref="AA103:AH103"/>
    <mergeCell ref="AI103:AO103"/>
    <mergeCell ref="M104:T104"/>
    <mergeCell ref="AA104:AH104"/>
    <mergeCell ref="AI104:AO104"/>
    <mergeCell ref="M105:T105"/>
    <mergeCell ref="D99:L100"/>
    <mergeCell ref="D101:L102"/>
    <mergeCell ref="M101:T101"/>
    <mergeCell ref="U101:Z102"/>
    <mergeCell ref="AA101:AH101"/>
    <mergeCell ref="AI101:AO101"/>
    <mergeCell ref="M102:T102"/>
    <mergeCell ref="AA102:AH102"/>
    <mergeCell ref="AI102:AO102"/>
    <mergeCell ref="D16:L17"/>
    <mergeCell ref="U30:Z31"/>
    <mergeCell ref="U18:Z19"/>
    <mergeCell ref="U20:Z21"/>
    <mergeCell ref="D18:L19"/>
    <mergeCell ref="D20:L21"/>
    <mergeCell ref="D22:L23"/>
    <mergeCell ref="AH2:AQ2"/>
    <mergeCell ref="AH3:AQ3"/>
    <mergeCell ref="AE4:AQ4"/>
    <mergeCell ref="AE2:AG2"/>
    <mergeCell ref="C3:AD3"/>
    <mergeCell ref="AE3:AG3"/>
    <mergeCell ref="D14:L15"/>
    <mergeCell ref="U14:Z15"/>
    <mergeCell ref="C4:AD4"/>
    <mergeCell ref="U22:Z23"/>
    <mergeCell ref="D30:L31"/>
    <mergeCell ref="D24:L25"/>
    <mergeCell ref="D26:L27"/>
    <mergeCell ref="D28:L29"/>
    <mergeCell ref="M26:T26"/>
    <mergeCell ref="M27:T27"/>
    <mergeCell ref="M28:T28"/>
    <mergeCell ref="M29:T29"/>
    <mergeCell ref="M30:T30"/>
    <mergeCell ref="M31:T31"/>
    <mergeCell ref="D61:L62"/>
    <mergeCell ref="D59:L60"/>
    <mergeCell ref="AI30:AO30"/>
    <mergeCell ref="AA18:AH18"/>
    <mergeCell ref="AA19:AH19"/>
    <mergeCell ref="AI16:AO16"/>
    <mergeCell ref="AI17:AO17"/>
    <mergeCell ref="AI18:AO18"/>
    <mergeCell ref="AI19:AO19"/>
    <mergeCell ref="AA31:AH31"/>
    <mergeCell ref="AI31:AO31"/>
    <mergeCell ref="AI29:AO29"/>
    <mergeCell ref="AI20:AO20"/>
    <mergeCell ref="AI21:AO21"/>
    <mergeCell ref="AI22:AO22"/>
    <mergeCell ref="AI23:AO23"/>
    <mergeCell ref="AI24:AO24"/>
    <mergeCell ref="AI25:AO25"/>
    <mergeCell ref="AI26:AO26"/>
    <mergeCell ref="AI27:AO27"/>
    <mergeCell ref="AI28:AO28"/>
    <mergeCell ref="AA21:AH21"/>
    <mergeCell ref="AA22:AH22"/>
    <mergeCell ref="AA23:AH23"/>
    <mergeCell ref="AA24:AH24"/>
    <mergeCell ref="BG17:BN17"/>
    <mergeCell ref="BG18:BN18"/>
    <mergeCell ref="BG19:BN19"/>
    <mergeCell ref="AV17:BD19"/>
    <mergeCell ref="AV20:BD22"/>
    <mergeCell ref="AV12:BD16"/>
    <mergeCell ref="BG12:BN12"/>
    <mergeCell ref="AV9:BD11"/>
    <mergeCell ref="BG9:BN9"/>
    <mergeCell ref="BG14:BN14"/>
    <mergeCell ref="BG15:BN15"/>
    <mergeCell ref="BG16:BN16"/>
    <mergeCell ref="BG10:BN10"/>
    <mergeCell ref="BG11:BN11"/>
    <mergeCell ref="BG13:BN13"/>
    <mergeCell ref="BG20:BN20"/>
    <mergeCell ref="BG21:BN21"/>
    <mergeCell ref="BG22:BN22"/>
    <mergeCell ref="D45:L46"/>
    <mergeCell ref="D49:L50"/>
    <mergeCell ref="D47:L48"/>
    <mergeCell ref="U45:Z46"/>
    <mergeCell ref="M47:T47"/>
    <mergeCell ref="U47:Z48"/>
    <mergeCell ref="AA47:AH47"/>
    <mergeCell ref="AI47:AO47"/>
    <mergeCell ref="M48:T48"/>
    <mergeCell ref="D53:L54"/>
    <mergeCell ref="D51:L52"/>
    <mergeCell ref="M51:T51"/>
    <mergeCell ref="U51:Z52"/>
    <mergeCell ref="AA51:AH51"/>
    <mergeCell ref="AI51:AO51"/>
    <mergeCell ref="M52:T52"/>
    <mergeCell ref="AA52:AH52"/>
    <mergeCell ref="AI52:AO52"/>
    <mergeCell ref="M53:T53"/>
    <mergeCell ref="D57:L58"/>
    <mergeCell ref="D55:L56"/>
    <mergeCell ref="M57:T57"/>
    <mergeCell ref="U57:Z58"/>
    <mergeCell ref="AA57:AH57"/>
    <mergeCell ref="AI57:AO57"/>
    <mergeCell ref="M58:T58"/>
    <mergeCell ref="AA58:AH58"/>
    <mergeCell ref="AI58:AO58"/>
    <mergeCell ref="BG23:BN23"/>
    <mergeCell ref="BG24:BN24"/>
    <mergeCell ref="BG25:BN25"/>
    <mergeCell ref="BG26:BN26"/>
    <mergeCell ref="BG27:BN27"/>
    <mergeCell ref="BG28:BN28"/>
    <mergeCell ref="AV23:BD25"/>
    <mergeCell ref="AV26:BD28"/>
    <mergeCell ref="AV29:BD31"/>
    <mergeCell ref="BG29:BN29"/>
    <mergeCell ref="BG30:BN30"/>
    <mergeCell ref="BG31:BN31"/>
    <mergeCell ref="D7:L8"/>
    <mergeCell ref="M16:T16"/>
    <mergeCell ref="M17:T17"/>
    <mergeCell ref="U16:Z17"/>
    <mergeCell ref="AA17:AH17"/>
    <mergeCell ref="AA16:AH16"/>
    <mergeCell ref="AA30:AH30"/>
    <mergeCell ref="U24:Z25"/>
    <mergeCell ref="U28:Z29"/>
    <mergeCell ref="U26:Z27"/>
    <mergeCell ref="AA27:AH27"/>
    <mergeCell ref="AA26:AH26"/>
    <mergeCell ref="AA25:AH25"/>
    <mergeCell ref="AA29:AH29"/>
    <mergeCell ref="AA28:AH28"/>
    <mergeCell ref="AA20:AH20"/>
    <mergeCell ref="M18:T18"/>
    <mergeCell ref="M19:T19"/>
    <mergeCell ref="M20:T20"/>
    <mergeCell ref="M21:T21"/>
    <mergeCell ref="M22:T22"/>
    <mergeCell ref="M23:T23"/>
    <mergeCell ref="M24:T24"/>
    <mergeCell ref="M25:T25"/>
    <mergeCell ref="AA48:AH48"/>
    <mergeCell ref="AI48:AO48"/>
    <mergeCell ref="M49:T49"/>
    <mergeCell ref="U49:Z50"/>
    <mergeCell ref="AA49:AH49"/>
    <mergeCell ref="AI49:AO49"/>
    <mergeCell ref="M50:T50"/>
    <mergeCell ref="AA50:AH50"/>
    <mergeCell ref="AI50:AO50"/>
    <mergeCell ref="U53:Z54"/>
    <mergeCell ref="AA53:AH53"/>
    <mergeCell ref="AI53:AO53"/>
    <mergeCell ref="M54:T54"/>
    <mergeCell ref="AA54:AH54"/>
    <mergeCell ref="AI54:AO54"/>
    <mergeCell ref="M55:T55"/>
    <mergeCell ref="U55:Z56"/>
    <mergeCell ref="AA55:AH55"/>
    <mergeCell ref="AI55:AO55"/>
    <mergeCell ref="M56:T56"/>
    <mergeCell ref="AA56:AH56"/>
    <mergeCell ref="AI56:AO56"/>
    <mergeCell ref="M59:T59"/>
    <mergeCell ref="U59:Z60"/>
    <mergeCell ref="AA59:AH59"/>
    <mergeCell ref="AI59:AO59"/>
    <mergeCell ref="M60:T60"/>
    <mergeCell ref="AA60:AH60"/>
    <mergeCell ref="AI60:AO60"/>
    <mergeCell ref="M61:T61"/>
    <mergeCell ref="U61:Z62"/>
    <mergeCell ref="AA61:AH61"/>
    <mergeCell ref="AI61:AO61"/>
    <mergeCell ref="M62:T62"/>
    <mergeCell ref="AA62:AH62"/>
    <mergeCell ref="AI62:AO62"/>
    <mergeCell ref="U65:Z66"/>
    <mergeCell ref="M67:T67"/>
    <mergeCell ref="U67:Z68"/>
    <mergeCell ref="AA67:AH67"/>
    <mergeCell ref="AI67:AO67"/>
    <mergeCell ref="M68:T68"/>
    <mergeCell ref="AA68:AH68"/>
    <mergeCell ref="AI68:AO68"/>
    <mergeCell ref="M69:T69"/>
    <mergeCell ref="U69:Z70"/>
    <mergeCell ref="AA69:AH69"/>
    <mergeCell ref="AI69:AO69"/>
    <mergeCell ref="M70:T70"/>
    <mergeCell ref="AA70:AH70"/>
    <mergeCell ref="AI70:AO70"/>
    <mergeCell ref="AI81:AO81"/>
    <mergeCell ref="M82:T82"/>
    <mergeCell ref="AA82:AH82"/>
    <mergeCell ref="AI82:AO82"/>
    <mergeCell ref="U85:Z86"/>
    <mergeCell ref="M87:T87"/>
    <mergeCell ref="U87:Z88"/>
    <mergeCell ref="AA87:AH87"/>
    <mergeCell ref="AI87:AO87"/>
    <mergeCell ref="M88:T88"/>
    <mergeCell ref="AA88:AH88"/>
    <mergeCell ref="AI88:AO88"/>
    <mergeCell ref="M89:T89"/>
    <mergeCell ref="U89:Z90"/>
    <mergeCell ref="AA89:AH89"/>
    <mergeCell ref="AI89:AO89"/>
    <mergeCell ref="M90:T90"/>
    <mergeCell ref="AA90:AH90"/>
    <mergeCell ref="AI90:AO90"/>
    <mergeCell ref="M91:T91"/>
    <mergeCell ref="U91:Z92"/>
    <mergeCell ref="AA91:AH91"/>
    <mergeCell ref="AI91:AO91"/>
    <mergeCell ref="M92:T92"/>
    <mergeCell ref="AA92:AH92"/>
    <mergeCell ref="AI92:AO92"/>
    <mergeCell ref="M93:T93"/>
    <mergeCell ref="U93:Z94"/>
    <mergeCell ref="AA93:AH93"/>
    <mergeCell ref="AI93:AO93"/>
    <mergeCell ref="M94:T94"/>
    <mergeCell ref="AA94:AH94"/>
    <mergeCell ref="AI94:AO94"/>
    <mergeCell ref="M95:T95"/>
    <mergeCell ref="U95:Z96"/>
    <mergeCell ref="AA95:AH95"/>
    <mergeCell ref="AI95:AO95"/>
    <mergeCell ref="M96:T96"/>
    <mergeCell ref="AA96:AH96"/>
    <mergeCell ref="AI96:AO96"/>
    <mergeCell ref="M97:T97"/>
    <mergeCell ref="U97:Z98"/>
    <mergeCell ref="AA97:AH97"/>
    <mergeCell ref="AI97:AO97"/>
    <mergeCell ref="M98:T98"/>
    <mergeCell ref="AA98:AH98"/>
    <mergeCell ref="AI98:AO98"/>
    <mergeCell ref="M99:T99"/>
    <mergeCell ref="U99:Z100"/>
    <mergeCell ref="AA99:AH99"/>
    <mergeCell ref="AI99:AO99"/>
    <mergeCell ref="M100:T100"/>
    <mergeCell ref="AA100:AH100"/>
    <mergeCell ref="AI100:AO100"/>
    <mergeCell ref="U105:Z106"/>
    <mergeCell ref="AA105:AH105"/>
    <mergeCell ref="AI105:AO105"/>
    <mergeCell ref="M106:T106"/>
    <mergeCell ref="AA106:AH106"/>
    <mergeCell ref="AI106:AO106"/>
    <mergeCell ref="M107:T107"/>
    <mergeCell ref="U107:Z108"/>
    <mergeCell ref="AA107:AH107"/>
    <mergeCell ref="AI107:AO107"/>
    <mergeCell ref="M108:T108"/>
    <mergeCell ref="AA108:AH108"/>
    <mergeCell ref="AI108:AO108"/>
    <mergeCell ref="D32:L33"/>
    <mergeCell ref="M32:T32"/>
    <mergeCell ref="U32:Z33"/>
    <mergeCell ref="AA32:AH32"/>
    <mergeCell ref="AI32:AO32"/>
    <mergeCell ref="M33:T33"/>
    <mergeCell ref="AA33:AH33"/>
    <mergeCell ref="AI33:AO33"/>
    <mergeCell ref="D34:L35"/>
    <mergeCell ref="M34:T34"/>
    <mergeCell ref="U34:Z35"/>
    <mergeCell ref="AA34:AH34"/>
    <mergeCell ref="AI34:AO34"/>
    <mergeCell ref="M35:T35"/>
    <mergeCell ref="AA35:AH35"/>
    <mergeCell ref="AI35:AO35"/>
    <mergeCell ref="D40:L41"/>
    <mergeCell ref="M40:T40"/>
    <mergeCell ref="U40:Z41"/>
    <mergeCell ref="AA40:AH40"/>
    <mergeCell ref="AI40:AO40"/>
    <mergeCell ref="M41:T41"/>
    <mergeCell ref="AA41:AH41"/>
    <mergeCell ref="AI41:AO41"/>
    <mergeCell ref="D36:L37"/>
    <mergeCell ref="M36:T36"/>
    <mergeCell ref="U36:Z37"/>
    <mergeCell ref="AA36:AH36"/>
    <mergeCell ref="AI36:AO36"/>
    <mergeCell ref="M37:T37"/>
    <mergeCell ref="AA37:AH37"/>
    <mergeCell ref="AI37:AO37"/>
    <mergeCell ref="D38:L39"/>
    <mergeCell ref="M38:T38"/>
    <mergeCell ref="U38:Z39"/>
    <mergeCell ref="AA38:AH38"/>
    <mergeCell ref="AI38:AO38"/>
    <mergeCell ref="M39:T39"/>
    <mergeCell ref="AA39:AH39"/>
    <mergeCell ref="AI39:AO39"/>
  </mergeCells>
  <phoneticPr fontId="2"/>
  <conditionalFormatting sqref="AH2">
    <cfRule type="cellIs" dxfId="1" priority="1" stopIfTrue="1" operator="equal">
      <formula>"J15-00252"</formula>
    </cfRule>
  </conditionalFormatting>
  <dataValidations count="1">
    <dataValidation type="list" allowBlank="1" showInputMessage="1" showErrorMessage="1" sqref="D7:L8" xr:uid="{7818DC20-23CD-4BDC-8085-94ED60E2864C}">
      <formula1>INDIRECT("T_常設機器一覧[部屋]")</formula1>
    </dataValidation>
  </dataValidations>
  <printOptions horizontalCentered="1" verticalCentered="1"/>
  <pageMargins left="0" right="0" top="0" bottom="0" header="0" footer="0"/>
  <pageSetup paperSize="9" orientation="portrait" r:id="rId1"/>
  <headerFooter scaleWithDoc="0" alignWithMargins="0">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30CE-92CD-457E-A35D-5AA9B365722B}">
  <dimension ref="A1:J143"/>
  <sheetViews>
    <sheetView tabSelected="1" zoomScaleNormal="100" workbookViewId="0">
      <selection activeCell="C125" sqref="C125"/>
    </sheetView>
  </sheetViews>
  <sheetFormatPr defaultRowHeight="18.600000000000001" customHeight="1"/>
  <cols>
    <col min="1" max="1" width="18.6640625" customWidth="1"/>
    <col min="2" max="2" width="37.21875" bestFit="1" customWidth="1"/>
    <col min="3" max="3" width="29.21875" bestFit="1" customWidth="1"/>
    <col min="4" max="4" width="20.33203125" bestFit="1" customWidth="1"/>
    <col min="5" max="5" width="16.109375" bestFit="1" customWidth="1"/>
    <col min="6" max="6" width="12.44140625" bestFit="1" customWidth="1"/>
    <col min="7" max="7" width="19.33203125" bestFit="1" customWidth="1"/>
    <col min="8" max="8" width="17.109375" bestFit="1" customWidth="1"/>
  </cols>
  <sheetData>
    <row r="1" spans="1:10" ht="18.600000000000001" customHeight="1">
      <c r="A1" s="94" t="s">
        <v>106</v>
      </c>
      <c r="B1" s="109" t="s">
        <v>323</v>
      </c>
      <c r="C1" s="109" t="s">
        <v>324</v>
      </c>
      <c r="D1" s="109" t="s">
        <v>325</v>
      </c>
      <c r="E1" s="109" t="s">
        <v>326</v>
      </c>
      <c r="F1" s="109" t="s">
        <v>327</v>
      </c>
      <c r="G1" s="109" t="s">
        <v>328</v>
      </c>
      <c r="H1" s="110" t="s">
        <v>329</v>
      </c>
    </row>
    <row r="2" spans="1:10" ht="18.600000000000001" hidden="1" customHeight="1">
      <c r="A2" s="92" t="s">
        <v>107</v>
      </c>
      <c r="B2" s="81" t="s">
        <v>32</v>
      </c>
      <c r="C2" s="81" t="s">
        <v>33</v>
      </c>
      <c r="D2" s="81" t="s">
        <v>34</v>
      </c>
      <c r="E2" s="82">
        <v>100011169747</v>
      </c>
      <c r="F2" s="82">
        <v>206192</v>
      </c>
      <c r="G2" s="90" t="s">
        <v>35</v>
      </c>
      <c r="H2" s="93">
        <v>46691</v>
      </c>
    </row>
    <row r="3" spans="1:10" ht="18.600000000000001" hidden="1" customHeight="1">
      <c r="A3" s="92" t="s">
        <v>107</v>
      </c>
      <c r="B3" s="85" t="s">
        <v>36</v>
      </c>
      <c r="C3" s="81" t="s">
        <v>37</v>
      </c>
      <c r="D3" s="81" t="s">
        <v>38</v>
      </c>
      <c r="E3" s="82">
        <v>100011154974</v>
      </c>
      <c r="F3" s="82" t="s">
        <v>39</v>
      </c>
      <c r="G3" s="90" t="s">
        <v>35</v>
      </c>
      <c r="H3" s="93">
        <v>46418</v>
      </c>
    </row>
    <row r="4" spans="1:10" ht="18.600000000000001" hidden="1" customHeight="1">
      <c r="A4" s="92" t="s">
        <v>107</v>
      </c>
      <c r="B4" s="81" t="s">
        <v>40</v>
      </c>
      <c r="C4" s="81" t="s">
        <v>41</v>
      </c>
      <c r="D4" s="81" t="s">
        <v>42</v>
      </c>
      <c r="E4" s="82">
        <v>100011224401</v>
      </c>
      <c r="F4" s="82" t="s">
        <v>43</v>
      </c>
      <c r="G4" s="90" t="s">
        <v>35</v>
      </c>
      <c r="H4" s="93">
        <v>46418</v>
      </c>
      <c r="J4">
        <v>18.600000000000001</v>
      </c>
    </row>
    <row r="5" spans="1:10" ht="18.600000000000001" hidden="1" customHeight="1">
      <c r="A5" s="92" t="s">
        <v>107</v>
      </c>
      <c r="B5" s="81" t="s">
        <v>44</v>
      </c>
      <c r="C5" s="81" t="s">
        <v>45</v>
      </c>
      <c r="D5" s="81" t="s">
        <v>46</v>
      </c>
      <c r="E5" s="82">
        <v>100011038580</v>
      </c>
      <c r="F5" s="82" t="s">
        <v>47</v>
      </c>
      <c r="G5" s="90" t="s">
        <v>35</v>
      </c>
      <c r="H5" s="93">
        <v>46173</v>
      </c>
    </row>
    <row r="6" spans="1:10" ht="18.600000000000001" hidden="1" customHeight="1">
      <c r="A6" s="92" t="s">
        <v>107</v>
      </c>
      <c r="B6" s="81" t="s">
        <v>48</v>
      </c>
      <c r="C6" s="81" t="s">
        <v>49</v>
      </c>
      <c r="D6" s="81" t="s">
        <v>50</v>
      </c>
      <c r="E6" s="82">
        <v>100010229316</v>
      </c>
      <c r="F6" s="82" t="s">
        <v>51</v>
      </c>
      <c r="G6" s="90" t="s">
        <v>35</v>
      </c>
      <c r="H6" s="93">
        <v>46387</v>
      </c>
    </row>
    <row r="7" spans="1:10" ht="18.600000000000001" hidden="1" customHeight="1">
      <c r="A7" s="92" t="s">
        <v>107</v>
      </c>
      <c r="B7" s="81" t="s">
        <v>52</v>
      </c>
      <c r="C7" s="81" t="s">
        <v>53</v>
      </c>
      <c r="D7" s="81" t="s">
        <v>54</v>
      </c>
      <c r="E7" s="82">
        <v>100010221941</v>
      </c>
      <c r="F7" s="82" t="s">
        <v>55</v>
      </c>
      <c r="G7" s="90" t="s">
        <v>35</v>
      </c>
      <c r="H7" s="93">
        <v>46387</v>
      </c>
    </row>
    <row r="8" spans="1:10" ht="18.600000000000001" hidden="1" customHeight="1">
      <c r="A8" s="92" t="s">
        <v>107</v>
      </c>
      <c r="B8" s="81" t="s">
        <v>56</v>
      </c>
      <c r="C8" s="81" t="s">
        <v>49</v>
      </c>
      <c r="D8" s="81" t="s">
        <v>57</v>
      </c>
      <c r="E8" s="82">
        <v>100011177498</v>
      </c>
      <c r="F8" s="82" t="s">
        <v>58</v>
      </c>
      <c r="G8" s="90" t="s">
        <v>35</v>
      </c>
      <c r="H8" s="93">
        <v>46387</v>
      </c>
    </row>
    <row r="9" spans="1:10" ht="18.600000000000001" hidden="1" customHeight="1">
      <c r="A9" s="92" t="s">
        <v>107</v>
      </c>
      <c r="B9" s="81" t="s">
        <v>59</v>
      </c>
      <c r="C9" s="81" t="s">
        <v>45</v>
      </c>
      <c r="D9" s="81">
        <v>3115</v>
      </c>
      <c r="E9" s="82">
        <v>100011224398</v>
      </c>
      <c r="F9" s="82" t="s">
        <v>60</v>
      </c>
      <c r="G9" s="90" t="s">
        <v>35</v>
      </c>
      <c r="H9" s="93">
        <v>46387</v>
      </c>
    </row>
    <row r="10" spans="1:10" ht="18.600000000000001" hidden="1" customHeight="1">
      <c r="A10" s="92" t="s">
        <v>107</v>
      </c>
      <c r="B10" s="81" t="s">
        <v>61</v>
      </c>
      <c r="C10" s="81" t="s">
        <v>45</v>
      </c>
      <c r="D10" s="81">
        <v>6502</v>
      </c>
      <c r="E10" s="82">
        <v>100011191955</v>
      </c>
      <c r="F10" s="82" t="s">
        <v>62</v>
      </c>
      <c r="G10" s="90" t="s">
        <v>35</v>
      </c>
      <c r="H10" s="93">
        <v>46418</v>
      </c>
    </row>
    <row r="11" spans="1:10" ht="18.600000000000001" hidden="1" customHeight="1">
      <c r="A11" s="92" t="s">
        <v>107</v>
      </c>
      <c r="B11" s="91" t="s">
        <v>63</v>
      </c>
      <c r="C11" s="86" t="s">
        <v>64</v>
      </c>
      <c r="D11" s="86" t="s">
        <v>65</v>
      </c>
      <c r="E11" s="82">
        <v>100010091069</v>
      </c>
      <c r="F11" s="82" t="s">
        <v>66</v>
      </c>
      <c r="G11" s="90" t="s">
        <v>35</v>
      </c>
      <c r="H11" s="93">
        <v>45901</v>
      </c>
    </row>
    <row r="12" spans="1:10" ht="18.600000000000001" hidden="1" customHeight="1">
      <c r="A12" s="92" t="s">
        <v>107</v>
      </c>
      <c r="B12" s="81" t="s">
        <v>67</v>
      </c>
      <c r="C12" s="81" t="s">
        <v>68</v>
      </c>
      <c r="D12" s="81" t="s">
        <v>69</v>
      </c>
      <c r="E12" s="82">
        <v>100011197643</v>
      </c>
      <c r="F12" s="82" t="s">
        <v>70</v>
      </c>
      <c r="G12" s="90" t="s">
        <v>35</v>
      </c>
      <c r="H12" s="93">
        <v>46418</v>
      </c>
    </row>
    <row r="13" spans="1:10" ht="18.600000000000001" hidden="1" customHeight="1">
      <c r="A13" s="92" t="s">
        <v>107</v>
      </c>
      <c r="B13" s="81" t="s">
        <v>71</v>
      </c>
      <c r="C13" s="81" t="s">
        <v>72</v>
      </c>
      <c r="D13" s="81" t="s">
        <v>73</v>
      </c>
      <c r="E13" s="82">
        <v>100011177501</v>
      </c>
      <c r="F13" s="82" t="s">
        <v>74</v>
      </c>
      <c r="G13" s="90" t="s">
        <v>35</v>
      </c>
      <c r="H13" s="93">
        <v>46418</v>
      </c>
    </row>
    <row r="14" spans="1:10" ht="18.600000000000001" hidden="1" customHeight="1">
      <c r="A14" s="92" t="s">
        <v>107</v>
      </c>
      <c r="B14" s="81" t="s">
        <v>75</v>
      </c>
      <c r="C14" s="81" t="s">
        <v>76</v>
      </c>
      <c r="D14" s="81" t="s">
        <v>77</v>
      </c>
      <c r="E14" s="82">
        <v>100011051455</v>
      </c>
      <c r="F14" s="82" t="s">
        <v>78</v>
      </c>
      <c r="G14" s="90" t="s">
        <v>35</v>
      </c>
      <c r="H14" s="93">
        <v>46418</v>
      </c>
    </row>
    <row r="15" spans="1:10" ht="18.600000000000001" hidden="1" customHeight="1">
      <c r="A15" s="92" t="s">
        <v>107</v>
      </c>
      <c r="B15" s="81" t="s">
        <v>79</v>
      </c>
      <c r="C15" s="81" t="s">
        <v>80</v>
      </c>
      <c r="D15" s="81" t="s">
        <v>81</v>
      </c>
      <c r="E15" s="82">
        <v>100011224055</v>
      </c>
      <c r="F15" s="82" t="s">
        <v>82</v>
      </c>
      <c r="G15" s="90" t="s">
        <v>35</v>
      </c>
      <c r="H15" s="93">
        <v>46418</v>
      </c>
    </row>
    <row r="16" spans="1:10" ht="18.600000000000001" hidden="1" customHeight="1">
      <c r="A16" s="92" t="s">
        <v>107</v>
      </c>
      <c r="B16" s="81" t="s">
        <v>83</v>
      </c>
      <c r="C16" s="81" t="s">
        <v>45</v>
      </c>
      <c r="D16" s="81" t="s">
        <v>84</v>
      </c>
      <c r="E16" s="82">
        <v>100010234620</v>
      </c>
      <c r="F16" s="87" t="s">
        <v>85</v>
      </c>
      <c r="G16" s="90" t="s">
        <v>35</v>
      </c>
      <c r="H16" s="93">
        <v>46418</v>
      </c>
    </row>
    <row r="17" spans="1:8" ht="18.600000000000001" hidden="1" customHeight="1">
      <c r="A17" s="92" t="s">
        <v>107</v>
      </c>
      <c r="B17" s="81" t="s">
        <v>86</v>
      </c>
      <c r="C17" s="81" t="s">
        <v>45</v>
      </c>
      <c r="D17" s="81" t="s">
        <v>87</v>
      </c>
      <c r="E17" s="82">
        <v>100010086208</v>
      </c>
      <c r="F17" s="82" t="s">
        <v>88</v>
      </c>
      <c r="G17" s="90" t="s">
        <v>35</v>
      </c>
      <c r="H17" s="93">
        <v>46418</v>
      </c>
    </row>
    <row r="18" spans="1:8" ht="18.600000000000001" hidden="1" customHeight="1">
      <c r="A18" s="92" t="s">
        <v>107</v>
      </c>
      <c r="B18" s="81" t="s">
        <v>89</v>
      </c>
      <c r="C18" s="81" t="s">
        <v>90</v>
      </c>
      <c r="D18" s="81" t="s">
        <v>91</v>
      </c>
      <c r="E18" s="82">
        <v>100011208489</v>
      </c>
      <c r="F18" s="82" t="s">
        <v>92</v>
      </c>
      <c r="G18" s="90" t="s">
        <v>35</v>
      </c>
      <c r="H18" s="93">
        <v>46418</v>
      </c>
    </row>
    <row r="19" spans="1:8" ht="18.600000000000001" hidden="1" customHeight="1">
      <c r="A19" s="92" t="s">
        <v>107</v>
      </c>
      <c r="B19" s="81" t="s">
        <v>93</v>
      </c>
      <c r="C19" s="81" t="s">
        <v>49</v>
      </c>
      <c r="D19" s="81" t="s">
        <v>94</v>
      </c>
      <c r="E19" s="82">
        <v>100011077788</v>
      </c>
      <c r="F19" s="82" t="s">
        <v>95</v>
      </c>
      <c r="G19" s="90" t="s">
        <v>35</v>
      </c>
      <c r="H19" s="93">
        <v>46418</v>
      </c>
    </row>
    <row r="20" spans="1:8" ht="18.600000000000001" hidden="1" customHeight="1">
      <c r="A20" s="92" t="s">
        <v>107</v>
      </c>
      <c r="B20" s="81" t="s">
        <v>93</v>
      </c>
      <c r="C20" s="81" t="s">
        <v>49</v>
      </c>
      <c r="D20" s="81" t="s">
        <v>94</v>
      </c>
      <c r="E20" s="82">
        <v>100011077789</v>
      </c>
      <c r="F20" s="82" t="s">
        <v>96</v>
      </c>
      <c r="G20" s="90" t="s">
        <v>35</v>
      </c>
      <c r="H20" s="93">
        <v>46418</v>
      </c>
    </row>
    <row r="21" spans="1:8" ht="18.600000000000001" hidden="1" customHeight="1">
      <c r="A21" s="92" t="s">
        <v>107</v>
      </c>
      <c r="B21" s="85" t="s">
        <v>97</v>
      </c>
      <c r="C21" s="88" t="s">
        <v>92</v>
      </c>
      <c r="D21" s="88" t="s">
        <v>92</v>
      </c>
      <c r="E21" s="88" t="s">
        <v>92</v>
      </c>
      <c r="F21" s="89" t="s">
        <v>98</v>
      </c>
      <c r="G21" s="90" t="s">
        <v>35</v>
      </c>
      <c r="H21" s="93">
        <v>46418</v>
      </c>
    </row>
    <row r="22" spans="1:8" ht="18.600000000000001" hidden="1" customHeight="1">
      <c r="A22" s="92" t="s">
        <v>107</v>
      </c>
      <c r="B22" s="85" t="s">
        <v>97</v>
      </c>
      <c r="C22" s="88" t="s">
        <v>92</v>
      </c>
      <c r="D22" s="88" t="s">
        <v>92</v>
      </c>
      <c r="E22" s="88" t="s">
        <v>92</v>
      </c>
      <c r="F22" s="89" t="s">
        <v>99</v>
      </c>
      <c r="G22" s="90" t="s">
        <v>35</v>
      </c>
      <c r="H22" s="93">
        <v>46418</v>
      </c>
    </row>
    <row r="23" spans="1:8" ht="18.600000000000001" hidden="1" customHeight="1">
      <c r="A23" s="92" t="s">
        <v>107</v>
      </c>
      <c r="B23" s="81" t="s">
        <v>100</v>
      </c>
      <c r="C23" s="81" t="s">
        <v>101</v>
      </c>
      <c r="D23" s="81" t="s">
        <v>102</v>
      </c>
      <c r="E23" s="82">
        <v>100011228715</v>
      </c>
      <c r="F23" s="82">
        <v>240723089</v>
      </c>
      <c r="G23" s="90" t="s">
        <v>35</v>
      </c>
      <c r="H23" s="93">
        <v>46327</v>
      </c>
    </row>
    <row r="24" spans="1:8" ht="18.600000000000001" hidden="1" customHeight="1">
      <c r="A24" s="95" t="s">
        <v>107</v>
      </c>
      <c r="B24" s="96" t="s">
        <v>103</v>
      </c>
      <c r="C24" s="96" t="s">
        <v>101</v>
      </c>
      <c r="D24" s="96" t="s">
        <v>104</v>
      </c>
      <c r="E24" s="97">
        <v>100011084972</v>
      </c>
      <c r="F24" s="97">
        <v>180824829</v>
      </c>
      <c r="G24" s="98" t="s">
        <v>35</v>
      </c>
      <c r="H24" s="99">
        <v>46234</v>
      </c>
    </row>
    <row r="25" spans="1:8" ht="18.600000000000001" hidden="1" customHeight="1">
      <c r="A25" s="92" t="s">
        <v>149</v>
      </c>
      <c r="B25" s="81" t="s">
        <v>126</v>
      </c>
      <c r="C25" s="81" t="s">
        <v>140</v>
      </c>
      <c r="D25" s="81" t="s">
        <v>147</v>
      </c>
      <c r="E25" s="82">
        <v>100011169742</v>
      </c>
      <c r="F25" s="82">
        <v>2015010</v>
      </c>
      <c r="G25" s="90" t="s">
        <v>148</v>
      </c>
      <c r="H25" s="93">
        <v>46691</v>
      </c>
    </row>
    <row r="26" spans="1:8" ht="18.600000000000001" hidden="1" customHeight="1">
      <c r="A26" s="92" t="s">
        <v>149</v>
      </c>
      <c r="B26" s="81" t="s">
        <v>127</v>
      </c>
      <c r="C26" s="81" t="s">
        <v>141</v>
      </c>
      <c r="D26" s="81" t="s">
        <v>38</v>
      </c>
      <c r="E26" s="82">
        <v>100011145062</v>
      </c>
      <c r="F26" s="82" t="s">
        <v>109</v>
      </c>
      <c r="G26" s="90" t="s">
        <v>148</v>
      </c>
      <c r="H26" s="93">
        <v>46538</v>
      </c>
    </row>
    <row r="27" spans="1:8" ht="18.600000000000001" hidden="1" customHeight="1">
      <c r="A27" s="92" t="s">
        <v>149</v>
      </c>
      <c r="B27" s="81" t="s">
        <v>40</v>
      </c>
      <c r="C27" s="81" t="s">
        <v>41</v>
      </c>
      <c r="D27" s="81" t="s">
        <v>42</v>
      </c>
      <c r="E27" s="82">
        <v>100011169425</v>
      </c>
      <c r="F27" s="82" t="s">
        <v>110</v>
      </c>
      <c r="G27" s="90" t="s">
        <v>148</v>
      </c>
      <c r="H27" s="93">
        <v>46507</v>
      </c>
    </row>
    <row r="28" spans="1:8" ht="18.600000000000001" hidden="1" customHeight="1">
      <c r="A28" s="92" t="s">
        <v>149</v>
      </c>
      <c r="B28" s="81" t="s">
        <v>44</v>
      </c>
      <c r="C28" s="81" t="s">
        <v>142</v>
      </c>
      <c r="D28" s="81" t="s">
        <v>46</v>
      </c>
      <c r="E28" s="82">
        <v>100011038580</v>
      </c>
      <c r="F28" s="82" t="s">
        <v>47</v>
      </c>
      <c r="G28" s="90" t="s">
        <v>148</v>
      </c>
      <c r="H28" s="93">
        <v>46173</v>
      </c>
    </row>
    <row r="29" spans="1:8" ht="18.600000000000001" hidden="1" customHeight="1">
      <c r="A29" s="92" t="s">
        <v>149</v>
      </c>
      <c r="B29" s="81" t="s">
        <v>111</v>
      </c>
      <c r="C29" s="81" t="s">
        <v>49</v>
      </c>
      <c r="D29" s="81" t="s">
        <v>112</v>
      </c>
      <c r="E29" s="82">
        <v>100011188895</v>
      </c>
      <c r="F29" s="82" t="s">
        <v>113</v>
      </c>
      <c r="G29" s="90" t="s">
        <v>148</v>
      </c>
      <c r="H29" s="93">
        <v>46173</v>
      </c>
    </row>
    <row r="30" spans="1:8" ht="18.600000000000001" hidden="1" customHeight="1">
      <c r="A30" s="92" t="s">
        <v>149</v>
      </c>
      <c r="B30" s="81" t="s">
        <v>114</v>
      </c>
      <c r="C30" s="81" t="s">
        <v>143</v>
      </c>
      <c r="D30" s="81" t="s">
        <v>54</v>
      </c>
      <c r="E30" s="82">
        <v>100011188896</v>
      </c>
      <c r="F30" s="82" t="s">
        <v>113</v>
      </c>
      <c r="G30" s="90" t="s">
        <v>148</v>
      </c>
      <c r="H30" s="93">
        <v>46113</v>
      </c>
    </row>
    <row r="31" spans="1:8" ht="18.600000000000001" hidden="1" customHeight="1">
      <c r="A31" s="92" t="s">
        <v>149</v>
      </c>
      <c r="B31" s="81" t="s">
        <v>128</v>
      </c>
      <c r="C31" s="81" t="s">
        <v>49</v>
      </c>
      <c r="D31" s="81" t="s">
        <v>57</v>
      </c>
      <c r="E31" s="82">
        <v>100011152115</v>
      </c>
      <c r="F31" s="82" t="s">
        <v>115</v>
      </c>
      <c r="G31" s="90" t="s">
        <v>148</v>
      </c>
      <c r="H31" s="93">
        <v>46173</v>
      </c>
    </row>
    <row r="32" spans="1:8" ht="18.600000000000001" hidden="1" customHeight="1">
      <c r="A32" s="92" t="s">
        <v>149</v>
      </c>
      <c r="B32" s="81" t="s">
        <v>129</v>
      </c>
      <c r="C32" s="81" t="s">
        <v>142</v>
      </c>
      <c r="D32" s="81">
        <v>3115</v>
      </c>
      <c r="E32" s="82">
        <v>100010096890</v>
      </c>
      <c r="F32" s="82" t="s">
        <v>113</v>
      </c>
      <c r="G32" s="90" t="s">
        <v>148</v>
      </c>
      <c r="H32" s="93">
        <v>46173</v>
      </c>
    </row>
    <row r="33" spans="1:8" ht="18.600000000000001" hidden="1" customHeight="1">
      <c r="A33" s="92" t="s">
        <v>149</v>
      </c>
      <c r="B33" s="81" t="s">
        <v>130</v>
      </c>
      <c r="C33" s="81" t="s">
        <v>142</v>
      </c>
      <c r="D33" s="81">
        <v>6502</v>
      </c>
      <c r="E33" s="82">
        <v>100011191956</v>
      </c>
      <c r="F33" s="82" t="s">
        <v>116</v>
      </c>
      <c r="G33" s="90" t="s">
        <v>148</v>
      </c>
      <c r="H33" s="93">
        <v>46173</v>
      </c>
    </row>
    <row r="34" spans="1:8" ht="18.600000000000001" hidden="1" customHeight="1">
      <c r="A34" s="92" t="s">
        <v>149</v>
      </c>
      <c r="B34" s="81" t="s">
        <v>131</v>
      </c>
      <c r="C34" s="81" t="s">
        <v>144</v>
      </c>
      <c r="D34" s="81" t="s">
        <v>65</v>
      </c>
      <c r="E34" s="82">
        <v>100010091069</v>
      </c>
      <c r="F34" s="82" t="s">
        <v>66</v>
      </c>
      <c r="G34" s="90" t="s">
        <v>148</v>
      </c>
      <c r="H34" s="93">
        <v>45930</v>
      </c>
    </row>
    <row r="35" spans="1:8" ht="18.600000000000001" hidden="1" customHeight="1">
      <c r="A35" s="92" t="s">
        <v>149</v>
      </c>
      <c r="B35" s="81" t="s">
        <v>132</v>
      </c>
      <c r="C35" s="81" t="s">
        <v>68</v>
      </c>
      <c r="D35" s="81" t="s">
        <v>69</v>
      </c>
      <c r="E35" s="82">
        <v>100011197645</v>
      </c>
      <c r="F35" s="82" t="s">
        <v>117</v>
      </c>
      <c r="G35" s="90" t="s">
        <v>148</v>
      </c>
      <c r="H35" s="93">
        <v>46173</v>
      </c>
    </row>
    <row r="36" spans="1:8" ht="18.600000000000001" hidden="1" customHeight="1">
      <c r="A36" s="92" t="s">
        <v>149</v>
      </c>
      <c r="B36" s="81" t="s">
        <v>133</v>
      </c>
      <c r="C36" s="81" t="s">
        <v>72</v>
      </c>
      <c r="D36" s="81" t="s">
        <v>73</v>
      </c>
      <c r="E36" s="82">
        <v>100011177500</v>
      </c>
      <c r="F36" s="82" t="s">
        <v>118</v>
      </c>
      <c r="G36" s="90" t="s">
        <v>148</v>
      </c>
      <c r="H36" s="93">
        <v>46143</v>
      </c>
    </row>
    <row r="37" spans="1:8" ht="18.600000000000001" hidden="1" customHeight="1">
      <c r="A37" s="92" t="s">
        <v>149</v>
      </c>
      <c r="B37" s="81" t="s">
        <v>134</v>
      </c>
      <c r="C37" s="81" t="s">
        <v>145</v>
      </c>
      <c r="D37" s="81" t="s">
        <v>77</v>
      </c>
      <c r="E37" s="82">
        <v>100011051456</v>
      </c>
      <c r="F37" s="82" t="s">
        <v>119</v>
      </c>
      <c r="G37" s="90" t="s">
        <v>148</v>
      </c>
      <c r="H37" s="93">
        <v>46418</v>
      </c>
    </row>
    <row r="38" spans="1:8" ht="18.600000000000001" hidden="1" customHeight="1">
      <c r="A38" s="92" t="s">
        <v>149</v>
      </c>
      <c r="B38" s="81" t="s">
        <v>135</v>
      </c>
      <c r="C38" s="81" t="s">
        <v>146</v>
      </c>
      <c r="D38" s="81" t="s">
        <v>81</v>
      </c>
      <c r="E38" s="82">
        <v>100011208487</v>
      </c>
      <c r="F38" s="82" t="s">
        <v>120</v>
      </c>
      <c r="G38" s="90" t="s">
        <v>148</v>
      </c>
      <c r="H38" s="93">
        <v>46173</v>
      </c>
    </row>
    <row r="39" spans="1:8" ht="18.600000000000001" hidden="1" customHeight="1">
      <c r="A39" s="92" t="s">
        <v>149</v>
      </c>
      <c r="B39" s="81" t="s">
        <v>136</v>
      </c>
      <c r="C39" s="81" t="s">
        <v>90</v>
      </c>
      <c r="D39" s="81" t="s">
        <v>91</v>
      </c>
      <c r="E39" s="82">
        <v>100011208486</v>
      </c>
      <c r="F39" s="82" t="s">
        <v>92</v>
      </c>
      <c r="G39" s="90" t="s">
        <v>148</v>
      </c>
      <c r="H39" s="93">
        <v>46173</v>
      </c>
    </row>
    <row r="40" spans="1:8" ht="18.600000000000001" hidden="1" customHeight="1">
      <c r="A40" s="92" t="s">
        <v>149</v>
      </c>
      <c r="B40" s="81" t="s">
        <v>93</v>
      </c>
      <c r="C40" s="81" t="s">
        <v>49</v>
      </c>
      <c r="D40" s="81" t="s">
        <v>94</v>
      </c>
      <c r="E40" s="82">
        <v>100011208022</v>
      </c>
      <c r="F40" s="82" t="s">
        <v>121</v>
      </c>
      <c r="G40" s="90" t="s">
        <v>148</v>
      </c>
      <c r="H40" s="93">
        <v>46538</v>
      </c>
    </row>
    <row r="41" spans="1:8" ht="18.600000000000001" hidden="1" customHeight="1">
      <c r="A41" s="92" t="s">
        <v>149</v>
      </c>
      <c r="B41" s="81" t="s">
        <v>93</v>
      </c>
      <c r="C41" s="81" t="s">
        <v>49</v>
      </c>
      <c r="D41" s="81" t="s">
        <v>94</v>
      </c>
      <c r="E41" s="82">
        <v>100011208023</v>
      </c>
      <c r="F41" s="82" t="s">
        <v>121</v>
      </c>
      <c r="G41" s="90" t="s">
        <v>148</v>
      </c>
      <c r="H41" s="93">
        <v>46538</v>
      </c>
    </row>
    <row r="42" spans="1:8" ht="18.600000000000001" hidden="1" customHeight="1">
      <c r="A42" s="92" t="s">
        <v>149</v>
      </c>
      <c r="B42" s="81" t="s">
        <v>137</v>
      </c>
      <c r="C42" s="81" t="s">
        <v>92</v>
      </c>
      <c r="D42" s="81" t="s">
        <v>92</v>
      </c>
      <c r="E42" s="82">
        <v>100011237702</v>
      </c>
      <c r="F42" s="82" t="s">
        <v>122</v>
      </c>
      <c r="G42" s="90" t="s">
        <v>148</v>
      </c>
      <c r="H42" s="93">
        <v>46538</v>
      </c>
    </row>
    <row r="43" spans="1:8" ht="18.600000000000001" hidden="1" customHeight="1">
      <c r="A43" s="92" t="s">
        <v>149</v>
      </c>
      <c r="B43" s="81" t="s">
        <v>137</v>
      </c>
      <c r="C43" s="81" t="s">
        <v>92</v>
      </c>
      <c r="D43" s="81" t="s">
        <v>92</v>
      </c>
      <c r="E43" s="82">
        <v>100011237703</v>
      </c>
      <c r="F43" s="82" t="s">
        <v>123</v>
      </c>
      <c r="G43" s="90" t="s">
        <v>148</v>
      </c>
      <c r="H43" s="93">
        <v>46538</v>
      </c>
    </row>
    <row r="44" spans="1:8" ht="18.600000000000001" hidden="1" customHeight="1">
      <c r="A44" s="92" t="s">
        <v>149</v>
      </c>
      <c r="B44" s="81" t="s">
        <v>138</v>
      </c>
      <c r="C44" s="81" t="s">
        <v>124</v>
      </c>
      <c r="D44" s="81">
        <v>116</v>
      </c>
      <c r="E44" s="82">
        <v>100011024590</v>
      </c>
      <c r="F44" s="82" t="s">
        <v>125</v>
      </c>
      <c r="G44" s="90" t="s">
        <v>148</v>
      </c>
      <c r="H44" s="93">
        <v>46507</v>
      </c>
    </row>
    <row r="45" spans="1:8" ht="18.600000000000001" hidden="1" customHeight="1">
      <c r="A45" s="92" t="s">
        <v>149</v>
      </c>
      <c r="B45" s="96" t="s">
        <v>139</v>
      </c>
      <c r="C45" s="96" t="s">
        <v>101</v>
      </c>
      <c r="D45" s="96" t="s">
        <v>104</v>
      </c>
      <c r="E45" s="97">
        <v>100011181654</v>
      </c>
      <c r="F45" s="97">
        <v>210922277</v>
      </c>
      <c r="G45" s="98" t="s">
        <v>148</v>
      </c>
      <c r="H45" s="99">
        <v>46203</v>
      </c>
    </row>
    <row r="46" spans="1:8" ht="18.600000000000001" hidden="1" customHeight="1">
      <c r="A46" s="92" t="s">
        <v>215</v>
      </c>
      <c r="B46" s="81" t="s">
        <v>197</v>
      </c>
      <c r="C46" s="81" t="s">
        <v>150</v>
      </c>
      <c r="D46" s="81" t="s">
        <v>214</v>
      </c>
      <c r="E46" s="82">
        <v>100011169743</v>
      </c>
      <c r="F46" s="82" t="s">
        <v>151</v>
      </c>
      <c r="G46" s="90" t="s">
        <v>152</v>
      </c>
      <c r="H46" s="93">
        <v>46265</v>
      </c>
    </row>
    <row r="47" spans="1:8" ht="18.600000000000001" hidden="1" customHeight="1">
      <c r="A47" s="92" t="s">
        <v>215</v>
      </c>
      <c r="B47" s="81" t="s">
        <v>127</v>
      </c>
      <c r="C47" s="81" t="s">
        <v>141</v>
      </c>
      <c r="D47" s="81" t="s">
        <v>153</v>
      </c>
      <c r="E47" s="82">
        <v>100011145061</v>
      </c>
      <c r="F47" s="82" t="s">
        <v>154</v>
      </c>
      <c r="G47" s="90" t="s">
        <v>152</v>
      </c>
      <c r="H47" s="93">
        <v>46265</v>
      </c>
    </row>
    <row r="48" spans="1:8" ht="18.600000000000001" hidden="1" customHeight="1">
      <c r="A48" s="92" t="s">
        <v>215</v>
      </c>
      <c r="B48" s="81" t="s">
        <v>40</v>
      </c>
      <c r="C48" s="81" t="s">
        <v>155</v>
      </c>
      <c r="D48" s="81" t="s">
        <v>42</v>
      </c>
      <c r="E48" s="82">
        <v>100010030702</v>
      </c>
      <c r="F48" s="82" t="s">
        <v>156</v>
      </c>
      <c r="G48" s="90" t="s">
        <v>152</v>
      </c>
      <c r="H48" s="93">
        <v>46265</v>
      </c>
    </row>
    <row r="49" spans="1:8" ht="18.600000000000001" hidden="1" customHeight="1">
      <c r="A49" s="92" t="s">
        <v>215</v>
      </c>
      <c r="B49" s="81" t="s">
        <v>198</v>
      </c>
      <c r="C49" s="81" t="s">
        <v>157</v>
      </c>
      <c r="D49" s="81" t="s">
        <v>158</v>
      </c>
      <c r="E49" s="82">
        <v>100011197644</v>
      </c>
      <c r="F49" s="82" t="s">
        <v>159</v>
      </c>
      <c r="G49" s="90" t="s">
        <v>152</v>
      </c>
      <c r="H49" s="93">
        <v>46265</v>
      </c>
    </row>
    <row r="50" spans="1:8" ht="18.600000000000001" hidden="1" customHeight="1">
      <c r="A50" s="92" t="s">
        <v>215</v>
      </c>
      <c r="B50" s="81" t="s">
        <v>199</v>
      </c>
      <c r="C50" s="81" t="s">
        <v>160</v>
      </c>
      <c r="D50" s="81" t="s">
        <v>161</v>
      </c>
      <c r="E50" s="82" t="s">
        <v>92</v>
      </c>
      <c r="F50" s="82" t="s">
        <v>92</v>
      </c>
      <c r="G50" s="90" t="s">
        <v>152</v>
      </c>
      <c r="H50" s="101" t="s">
        <v>92</v>
      </c>
    </row>
    <row r="51" spans="1:8" ht="18.600000000000001" hidden="1" customHeight="1">
      <c r="A51" s="92" t="s">
        <v>215</v>
      </c>
      <c r="B51" s="81" t="s">
        <v>162</v>
      </c>
      <c r="C51" s="81" t="s">
        <v>142</v>
      </c>
      <c r="D51" s="81" t="s">
        <v>163</v>
      </c>
      <c r="E51" s="82">
        <v>100011188897</v>
      </c>
      <c r="F51" s="87" t="s">
        <v>164</v>
      </c>
      <c r="G51" s="90" t="s">
        <v>152</v>
      </c>
      <c r="H51" s="93">
        <v>46265</v>
      </c>
    </row>
    <row r="52" spans="1:8" ht="18.600000000000001" hidden="1" customHeight="1">
      <c r="A52" s="92" t="s">
        <v>215</v>
      </c>
      <c r="B52" s="81" t="s">
        <v>165</v>
      </c>
      <c r="C52" s="81" t="s">
        <v>166</v>
      </c>
      <c r="D52" s="81" t="s">
        <v>112</v>
      </c>
      <c r="E52" s="82">
        <v>100011188898</v>
      </c>
      <c r="F52" s="82" t="s">
        <v>167</v>
      </c>
      <c r="G52" s="90" t="s">
        <v>152</v>
      </c>
      <c r="H52" s="93">
        <v>46265</v>
      </c>
    </row>
    <row r="53" spans="1:8" ht="18.600000000000001" hidden="1" customHeight="1">
      <c r="A53" s="92" t="s">
        <v>215</v>
      </c>
      <c r="B53" s="81" t="s">
        <v>168</v>
      </c>
      <c r="C53" s="81" t="s">
        <v>212</v>
      </c>
      <c r="D53" s="81" t="s">
        <v>169</v>
      </c>
      <c r="E53" s="82">
        <v>100011188899</v>
      </c>
      <c r="F53" s="82" t="s">
        <v>170</v>
      </c>
      <c r="G53" s="90" t="s">
        <v>152</v>
      </c>
      <c r="H53" s="93">
        <v>46265</v>
      </c>
    </row>
    <row r="54" spans="1:8" ht="18.600000000000001" hidden="1" customHeight="1">
      <c r="A54" s="92" t="s">
        <v>215</v>
      </c>
      <c r="B54" s="81" t="s">
        <v>128</v>
      </c>
      <c r="C54" s="81" t="s">
        <v>166</v>
      </c>
      <c r="D54" s="81" t="s">
        <v>171</v>
      </c>
      <c r="E54" s="82">
        <v>100011177499</v>
      </c>
      <c r="F54" s="82" t="s">
        <v>172</v>
      </c>
      <c r="G54" s="90" t="s">
        <v>152</v>
      </c>
      <c r="H54" s="93">
        <v>46265</v>
      </c>
    </row>
    <row r="55" spans="1:8" ht="18.600000000000001" hidden="1" customHeight="1">
      <c r="A55" s="92" t="s">
        <v>215</v>
      </c>
      <c r="B55" s="81" t="s">
        <v>129</v>
      </c>
      <c r="C55" s="81" t="s">
        <v>173</v>
      </c>
      <c r="D55" s="81">
        <v>3115</v>
      </c>
      <c r="E55" s="82">
        <v>100011188900</v>
      </c>
      <c r="F55" s="87" t="s">
        <v>174</v>
      </c>
      <c r="G55" s="90" t="s">
        <v>152</v>
      </c>
      <c r="H55" s="93">
        <v>46265</v>
      </c>
    </row>
    <row r="56" spans="1:8" ht="18.600000000000001" hidden="1" customHeight="1">
      <c r="A56" s="92" t="s">
        <v>215</v>
      </c>
      <c r="B56" s="81" t="s">
        <v>132</v>
      </c>
      <c r="C56" s="81" t="s">
        <v>68</v>
      </c>
      <c r="D56" s="81" t="s">
        <v>175</v>
      </c>
      <c r="E56" s="82">
        <v>100011197644</v>
      </c>
      <c r="F56" s="82" t="s">
        <v>159</v>
      </c>
      <c r="G56" s="90" t="s">
        <v>152</v>
      </c>
      <c r="H56" s="93">
        <v>46265</v>
      </c>
    </row>
    <row r="57" spans="1:8" ht="18.600000000000001" hidden="1" customHeight="1">
      <c r="A57" s="92" t="s">
        <v>215</v>
      </c>
      <c r="B57" s="81" t="s">
        <v>133</v>
      </c>
      <c r="C57" s="81" t="s">
        <v>72</v>
      </c>
      <c r="D57" s="81" t="s">
        <v>176</v>
      </c>
      <c r="E57" s="82">
        <v>100011153376</v>
      </c>
      <c r="F57" s="82" t="s">
        <v>177</v>
      </c>
      <c r="G57" s="90" t="s">
        <v>152</v>
      </c>
      <c r="H57" s="93">
        <v>46265</v>
      </c>
    </row>
    <row r="58" spans="1:8" ht="18.600000000000001" hidden="1" customHeight="1">
      <c r="A58" s="92" t="s">
        <v>215</v>
      </c>
      <c r="B58" s="81" t="s">
        <v>200</v>
      </c>
      <c r="C58" s="81" t="s">
        <v>213</v>
      </c>
      <c r="D58" s="81" t="s">
        <v>178</v>
      </c>
      <c r="E58" s="82">
        <v>100011197644</v>
      </c>
      <c r="F58" s="82" t="s">
        <v>159</v>
      </c>
      <c r="G58" s="90" t="s">
        <v>152</v>
      </c>
      <c r="H58" s="93">
        <v>46265</v>
      </c>
    </row>
    <row r="59" spans="1:8" ht="18.600000000000001" hidden="1" customHeight="1">
      <c r="A59" s="92" t="s">
        <v>215</v>
      </c>
      <c r="B59" s="81" t="s">
        <v>201</v>
      </c>
      <c r="C59" s="81" t="s">
        <v>213</v>
      </c>
      <c r="D59" s="81" t="s">
        <v>178</v>
      </c>
      <c r="E59" s="82">
        <v>100011197644</v>
      </c>
      <c r="F59" s="82" t="s">
        <v>159</v>
      </c>
      <c r="G59" s="90" t="s">
        <v>152</v>
      </c>
      <c r="H59" s="93">
        <v>46265</v>
      </c>
    </row>
    <row r="60" spans="1:8" ht="18.600000000000001" hidden="1" customHeight="1">
      <c r="A60" s="92" t="s">
        <v>215</v>
      </c>
      <c r="B60" s="81" t="s">
        <v>202</v>
      </c>
      <c r="C60" s="81" t="s">
        <v>179</v>
      </c>
      <c r="D60" s="81" t="s">
        <v>180</v>
      </c>
      <c r="E60" s="82">
        <v>100011197644</v>
      </c>
      <c r="F60" s="82" t="s">
        <v>159</v>
      </c>
      <c r="G60" s="90" t="s">
        <v>152</v>
      </c>
      <c r="H60" s="93">
        <v>46265</v>
      </c>
    </row>
    <row r="61" spans="1:8" ht="18.600000000000001" hidden="1" customHeight="1">
      <c r="A61" s="92" t="s">
        <v>215</v>
      </c>
      <c r="B61" s="81" t="s">
        <v>203</v>
      </c>
      <c r="C61" s="81" t="s">
        <v>179</v>
      </c>
      <c r="D61" s="81" t="s">
        <v>180</v>
      </c>
      <c r="E61" s="82">
        <v>100011197644</v>
      </c>
      <c r="F61" s="82" t="s">
        <v>159</v>
      </c>
      <c r="G61" s="90" t="s">
        <v>152</v>
      </c>
      <c r="H61" s="93">
        <v>46265</v>
      </c>
    </row>
    <row r="62" spans="1:8" ht="18.600000000000001" hidden="1" customHeight="1">
      <c r="A62" s="92" t="s">
        <v>215</v>
      </c>
      <c r="B62" s="81" t="s">
        <v>204</v>
      </c>
      <c r="C62" s="81" t="s">
        <v>213</v>
      </c>
      <c r="D62" s="81" t="s">
        <v>178</v>
      </c>
      <c r="E62" s="82">
        <v>100011197644</v>
      </c>
      <c r="F62" s="82" t="s">
        <v>159</v>
      </c>
      <c r="G62" s="90" t="s">
        <v>152</v>
      </c>
      <c r="H62" s="93">
        <v>46265</v>
      </c>
    </row>
    <row r="63" spans="1:8" ht="18.600000000000001" hidden="1" customHeight="1">
      <c r="A63" s="92" t="s">
        <v>215</v>
      </c>
      <c r="B63" s="81" t="s">
        <v>204</v>
      </c>
      <c r="C63" s="81" t="s">
        <v>213</v>
      </c>
      <c r="D63" s="81" t="s">
        <v>178</v>
      </c>
      <c r="E63" s="82">
        <v>100011197644</v>
      </c>
      <c r="F63" s="82" t="s">
        <v>159</v>
      </c>
      <c r="G63" s="90" t="s">
        <v>152</v>
      </c>
      <c r="H63" s="93">
        <v>46265</v>
      </c>
    </row>
    <row r="64" spans="1:8" ht="18.600000000000001" hidden="1" customHeight="1">
      <c r="A64" s="92" t="s">
        <v>215</v>
      </c>
      <c r="B64" s="81" t="s">
        <v>204</v>
      </c>
      <c r="C64" s="81" t="s">
        <v>213</v>
      </c>
      <c r="D64" s="81" t="s">
        <v>178</v>
      </c>
      <c r="E64" s="82">
        <v>100011197644</v>
      </c>
      <c r="F64" s="82" t="s">
        <v>159</v>
      </c>
      <c r="G64" s="90" t="s">
        <v>152</v>
      </c>
      <c r="H64" s="93">
        <v>46265</v>
      </c>
    </row>
    <row r="65" spans="1:8" ht="18.600000000000001" hidden="1" customHeight="1">
      <c r="A65" s="92" t="s">
        <v>215</v>
      </c>
      <c r="B65" s="81" t="s">
        <v>204</v>
      </c>
      <c r="C65" s="81" t="s">
        <v>213</v>
      </c>
      <c r="D65" s="81" t="s">
        <v>178</v>
      </c>
      <c r="E65" s="82">
        <v>100011197644</v>
      </c>
      <c r="F65" s="82" t="s">
        <v>159</v>
      </c>
      <c r="G65" s="90" t="s">
        <v>152</v>
      </c>
      <c r="H65" s="93">
        <v>46265</v>
      </c>
    </row>
    <row r="66" spans="1:8" ht="18.600000000000001" hidden="1" customHeight="1">
      <c r="A66" s="92" t="s">
        <v>215</v>
      </c>
      <c r="B66" s="81" t="s">
        <v>201</v>
      </c>
      <c r="C66" s="81" t="s">
        <v>213</v>
      </c>
      <c r="D66" s="81" t="s">
        <v>178</v>
      </c>
      <c r="E66" s="82">
        <v>100011197644</v>
      </c>
      <c r="F66" s="82" t="s">
        <v>159</v>
      </c>
      <c r="G66" s="90" t="s">
        <v>152</v>
      </c>
      <c r="H66" s="93">
        <v>46265</v>
      </c>
    </row>
    <row r="67" spans="1:8" ht="18.600000000000001" hidden="1" customHeight="1">
      <c r="A67" s="92" t="s">
        <v>215</v>
      </c>
      <c r="B67" s="81" t="s">
        <v>205</v>
      </c>
      <c r="C67" s="81" t="s">
        <v>142</v>
      </c>
      <c r="D67" s="81" t="s">
        <v>181</v>
      </c>
      <c r="E67" s="82">
        <v>100010032115</v>
      </c>
      <c r="F67" s="82" t="s">
        <v>92</v>
      </c>
      <c r="G67" s="90" t="s">
        <v>152</v>
      </c>
      <c r="H67" s="93">
        <v>46265</v>
      </c>
    </row>
    <row r="68" spans="1:8" ht="18.600000000000001" hidden="1" customHeight="1">
      <c r="A68" s="92" t="s">
        <v>215</v>
      </c>
      <c r="B68" s="81" t="s">
        <v>206</v>
      </c>
      <c r="C68" s="81" t="s">
        <v>142</v>
      </c>
      <c r="D68" s="81" t="s">
        <v>182</v>
      </c>
      <c r="E68" s="82">
        <v>100010071233</v>
      </c>
      <c r="F68" s="87" t="s">
        <v>183</v>
      </c>
      <c r="G68" s="90" t="s">
        <v>152</v>
      </c>
      <c r="H68" s="93">
        <v>46418</v>
      </c>
    </row>
    <row r="69" spans="1:8" ht="18.600000000000001" hidden="1" customHeight="1">
      <c r="A69" s="92" t="s">
        <v>215</v>
      </c>
      <c r="B69" s="81" t="s">
        <v>207</v>
      </c>
      <c r="C69" s="81" t="s">
        <v>90</v>
      </c>
      <c r="D69" s="81" t="s">
        <v>184</v>
      </c>
      <c r="E69" s="82">
        <v>100011208481</v>
      </c>
      <c r="F69" s="82" t="s">
        <v>92</v>
      </c>
      <c r="G69" s="90" t="s">
        <v>152</v>
      </c>
      <c r="H69" s="93">
        <v>46265</v>
      </c>
    </row>
    <row r="70" spans="1:8" ht="18.600000000000001" hidden="1" customHeight="1">
      <c r="A70" s="92" t="s">
        <v>215</v>
      </c>
      <c r="B70" s="81" t="s">
        <v>208</v>
      </c>
      <c r="C70" s="81" t="s">
        <v>185</v>
      </c>
      <c r="D70" s="81" t="s">
        <v>186</v>
      </c>
      <c r="E70" s="82">
        <v>100011197644</v>
      </c>
      <c r="F70" s="82" t="s">
        <v>159</v>
      </c>
      <c r="G70" s="90" t="s">
        <v>152</v>
      </c>
      <c r="H70" s="93">
        <v>46265</v>
      </c>
    </row>
    <row r="71" spans="1:8" ht="18.600000000000001" hidden="1" customHeight="1">
      <c r="A71" s="92" t="s">
        <v>215</v>
      </c>
      <c r="B71" s="81" t="s">
        <v>108</v>
      </c>
      <c r="C71" s="81" t="s">
        <v>166</v>
      </c>
      <c r="D71" s="81" t="s">
        <v>187</v>
      </c>
      <c r="E71" s="82">
        <v>100011208034</v>
      </c>
      <c r="F71" s="82" t="s">
        <v>188</v>
      </c>
      <c r="G71" s="90" t="s">
        <v>152</v>
      </c>
      <c r="H71" s="93">
        <v>46265</v>
      </c>
    </row>
    <row r="72" spans="1:8" ht="18.600000000000001" hidden="1" customHeight="1">
      <c r="A72" s="92" t="s">
        <v>215</v>
      </c>
      <c r="B72" s="81" t="s">
        <v>108</v>
      </c>
      <c r="C72" s="81" t="s">
        <v>166</v>
      </c>
      <c r="D72" s="81" t="s">
        <v>187</v>
      </c>
      <c r="E72" s="82">
        <v>100011208035</v>
      </c>
      <c r="F72" s="82" t="s">
        <v>188</v>
      </c>
      <c r="G72" s="90" t="s">
        <v>152</v>
      </c>
      <c r="H72" s="93">
        <v>46265</v>
      </c>
    </row>
    <row r="73" spans="1:8" ht="18.600000000000001" hidden="1" customHeight="1">
      <c r="A73" s="92" t="s">
        <v>215</v>
      </c>
      <c r="B73" s="81" t="s">
        <v>209</v>
      </c>
      <c r="C73" s="81" t="s">
        <v>189</v>
      </c>
      <c r="D73" s="81" t="s">
        <v>190</v>
      </c>
      <c r="E73" s="82">
        <v>100011224936</v>
      </c>
      <c r="F73" s="82" t="s">
        <v>92</v>
      </c>
      <c r="G73" s="90" t="s">
        <v>152</v>
      </c>
      <c r="H73" s="93">
        <v>46265</v>
      </c>
    </row>
    <row r="74" spans="1:8" ht="18.600000000000001" hidden="1" customHeight="1">
      <c r="A74" s="92" t="s">
        <v>215</v>
      </c>
      <c r="B74" s="81" t="s">
        <v>209</v>
      </c>
      <c r="C74" s="81" t="s">
        <v>189</v>
      </c>
      <c r="D74" s="81" t="s">
        <v>190</v>
      </c>
      <c r="E74" s="82">
        <v>100011224937</v>
      </c>
      <c r="F74" s="82" t="s">
        <v>92</v>
      </c>
      <c r="G74" s="90" t="s">
        <v>152</v>
      </c>
      <c r="H74" s="93">
        <v>46265</v>
      </c>
    </row>
    <row r="75" spans="1:8" ht="18.600000000000001" hidden="1" customHeight="1">
      <c r="A75" s="92" t="s">
        <v>215</v>
      </c>
      <c r="B75" s="81" t="s">
        <v>210</v>
      </c>
      <c r="C75" s="81" t="s">
        <v>192</v>
      </c>
      <c r="D75" s="81">
        <v>112</v>
      </c>
      <c r="E75" s="82">
        <v>100010071769</v>
      </c>
      <c r="F75" s="82">
        <v>86480324</v>
      </c>
      <c r="G75" s="90" t="s">
        <v>152</v>
      </c>
      <c r="H75" s="93">
        <v>46446</v>
      </c>
    </row>
    <row r="76" spans="1:8" ht="18.600000000000001" hidden="1" customHeight="1">
      <c r="A76" s="92" t="s">
        <v>215</v>
      </c>
      <c r="B76" s="81" t="s">
        <v>193</v>
      </c>
      <c r="C76" s="81" t="s">
        <v>194</v>
      </c>
      <c r="D76" s="81" t="s">
        <v>195</v>
      </c>
      <c r="E76" s="82">
        <v>100011181618</v>
      </c>
      <c r="F76" s="82">
        <v>210922261</v>
      </c>
      <c r="G76" s="90" t="s">
        <v>152</v>
      </c>
      <c r="H76" s="93">
        <v>46234</v>
      </c>
    </row>
    <row r="77" spans="1:8" ht="18.600000000000001" hidden="1" customHeight="1">
      <c r="A77" s="92" t="s">
        <v>215</v>
      </c>
      <c r="B77" s="96" t="s">
        <v>211</v>
      </c>
      <c r="C77" s="96" t="s">
        <v>194</v>
      </c>
      <c r="D77" s="96" t="s">
        <v>196</v>
      </c>
      <c r="E77" s="97">
        <v>100011205109</v>
      </c>
      <c r="F77" s="97">
        <v>230529268</v>
      </c>
      <c r="G77" s="98" t="s">
        <v>152</v>
      </c>
      <c r="H77" s="99">
        <v>46568</v>
      </c>
    </row>
    <row r="78" spans="1:8" ht="18.600000000000001" hidden="1" customHeight="1">
      <c r="A78" s="92" t="s">
        <v>274</v>
      </c>
      <c r="B78" s="81" t="s">
        <v>257</v>
      </c>
      <c r="C78" s="81" t="s">
        <v>140</v>
      </c>
      <c r="D78" s="81" t="s">
        <v>270</v>
      </c>
      <c r="E78" s="82">
        <v>100010078178</v>
      </c>
      <c r="F78" s="82" t="s">
        <v>92</v>
      </c>
      <c r="G78" s="90" t="s">
        <v>148</v>
      </c>
      <c r="H78" s="93" t="s">
        <v>271</v>
      </c>
    </row>
    <row r="79" spans="1:8" ht="18.600000000000001" hidden="1" customHeight="1">
      <c r="A79" s="92" t="s">
        <v>274</v>
      </c>
      <c r="B79" s="81" t="s">
        <v>127</v>
      </c>
      <c r="C79" s="81" t="s">
        <v>273</v>
      </c>
      <c r="D79" s="81" t="s">
        <v>216</v>
      </c>
      <c r="E79" s="82">
        <v>100011154975</v>
      </c>
      <c r="F79" s="82" t="s">
        <v>217</v>
      </c>
      <c r="G79" s="90" t="s">
        <v>148</v>
      </c>
      <c r="H79" s="93">
        <v>46538</v>
      </c>
    </row>
    <row r="80" spans="1:8" ht="18.600000000000001" hidden="1" customHeight="1">
      <c r="A80" s="92" t="s">
        <v>274</v>
      </c>
      <c r="B80" s="81" t="s">
        <v>258</v>
      </c>
      <c r="C80" s="81" t="s">
        <v>41</v>
      </c>
      <c r="D80" s="81" t="s">
        <v>218</v>
      </c>
      <c r="E80" s="82">
        <v>100010080371</v>
      </c>
      <c r="F80" s="82" t="s">
        <v>219</v>
      </c>
      <c r="G80" s="90" t="s">
        <v>148</v>
      </c>
      <c r="H80" s="93">
        <v>46173</v>
      </c>
    </row>
    <row r="81" spans="1:8" ht="18.600000000000001" hidden="1" customHeight="1">
      <c r="A81" s="92" t="s">
        <v>274</v>
      </c>
      <c r="B81" s="81" t="s">
        <v>259</v>
      </c>
      <c r="C81" s="81" t="s">
        <v>269</v>
      </c>
      <c r="D81" s="81" t="s">
        <v>220</v>
      </c>
      <c r="E81" s="82">
        <v>100011241567</v>
      </c>
      <c r="F81" s="82" t="s">
        <v>221</v>
      </c>
      <c r="G81" s="90" t="s">
        <v>148</v>
      </c>
      <c r="H81" s="93">
        <v>46418</v>
      </c>
    </row>
    <row r="82" spans="1:8" ht="18.600000000000001" hidden="1" customHeight="1">
      <c r="A82" s="92" t="s">
        <v>274</v>
      </c>
      <c r="B82" s="81" t="s">
        <v>260</v>
      </c>
      <c r="C82" s="81" t="s">
        <v>269</v>
      </c>
      <c r="D82" s="81" t="s">
        <v>220</v>
      </c>
      <c r="E82" s="82" t="s">
        <v>92</v>
      </c>
      <c r="F82" s="82" t="s">
        <v>222</v>
      </c>
      <c r="G82" s="90" t="s">
        <v>148</v>
      </c>
      <c r="H82" s="93" t="s">
        <v>92</v>
      </c>
    </row>
    <row r="83" spans="1:8" ht="18.600000000000001" hidden="1" customHeight="1">
      <c r="A83" s="92" t="s">
        <v>274</v>
      </c>
      <c r="B83" s="81" t="s">
        <v>261</v>
      </c>
      <c r="C83" s="81" t="s">
        <v>223</v>
      </c>
      <c r="D83" s="81" t="s">
        <v>224</v>
      </c>
      <c r="E83" s="82" t="s">
        <v>225</v>
      </c>
      <c r="F83" s="82" t="s">
        <v>92</v>
      </c>
      <c r="G83" s="90" t="s">
        <v>148</v>
      </c>
      <c r="H83" s="93" t="s">
        <v>226</v>
      </c>
    </row>
    <row r="84" spans="1:8" ht="18.600000000000001" hidden="1" customHeight="1">
      <c r="A84" s="92" t="s">
        <v>274</v>
      </c>
      <c r="B84" s="81" t="s">
        <v>262</v>
      </c>
      <c r="C84" s="81" t="s">
        <v>269</v>
      </c>
      <c r="D84" s="81" t="s">
        <v>220</v>
      </c>
      <c r="E84" s="82" t="s">
        <v>92</v>
      </c>
      <c r="F84" s="82" t="s">
        <v>227</v>
      </c>
      <c r="G84" s="90" t="s">
        <v>148</v>
      </c>
      <c r="H84" s="93" t="s">
        <v>92</v>
      </c>
    </row>
    <row r="85" spans="1:8" ht="18.600000000000001" hidden="1" customHeight="1">
      <c r="A85" s="92" t="s">
        <v>274</v>
      </c>
      <c r="B85" s="81" t="s">
        <v>262</v>
      </c>
      <c r="C85" s="81" t="s">
        <v>269</v>
      </c>
      <c r="D85" s="81" t="s">
        <v>220</v>
      </c>
      <c r="E85" s="82" t="s">
        <v>92</v>
      </c>
      <c r="F85" s="82" t="s">
        <v>228</v>
      </c>
      <c r="G85" s="90" t="s">
        <v>148</v>
      </c>
      <c r="H85" s="93" t="s">
        <v>92</v>
      </c>
    </row>
    <row r="86" spans="1:8" ht="18.600000000000001" hidden="1" customHeight="1">
      <c r="A86" s="92" t="s">
        <v>274</v>
      </c>
      <c r="B86" s="81" t="s">
        <v>132</v>
      </c>
      <c r="C86" s="81" t="s">
        <v>229</v>
      </c>
      <c r="D86" s="81" t="s">
        <v>69</v>
      </c>
      <c r="E86" s="82">
        <v>100011197642</v>
      </c>
      <c r="F86" s="82" t="s">
        <v>230</v>
      </c>
      <c r="G86" s="90" t="s">
        <v>148</v>
      </c>
      <c r="H86" s="93">
        <v>46265</v>
      </c>
    </row>
    <row r="87" spans="1:8" ht="18.600000000000001" hidden="1" customHeight="1">
      <c r="A87" s="92" t="s">
        <v>274</v>
      </c>
      <c r="B87" s="81" t="s">
        <v>263</v>
      </c>
      <c r="C87" s="81" t="s">
        <v>231</v>
      </c>
      <c r="D87" s="81" t="s">
        <v>232</v>
      </c>
      <c r="E87" s="82" t="s">
        <v>92</v>
      </c>
      <c r="F87" s="82" t="s">
        <v>233</v>
      </c>
      <c r="G87" s="90" t="s">
        <v>148</v>
      </c>
      <c r="H87" s="93"/>
    </row>
    <row r="88" spans="1:8" ht="18.600000000000001" hidden="1" customHeight="1">
      <c r="A88" s="92" t="s">
        <v>274</v>
      </c>
      <c r="B88" s="81" t="s">
        <v>198</v>
      </c>
      <c r="C88" s="81" t="s">
        <v>235</v>
      </c>
      <c r="D88" s="81" t="s">
        <v>236</v>
      </c>
      <c r="E88" s="82" t="s">
        <v>92</v>
      </c>
      <c r="F88" s="82" t="s">
        <v>237</v>
      </c>
      <c r="G88" s="90" t="s">
        <v>148</v>
      </c>
      <c r="H88" s="93">
        <v>46265</v>
      </c>
    </row>
    <row r="89" spans="1:8" ht="18.600000000000001" hidden="1" customHeight="1">
      <c r="A89" s="92" t="s">
        <v>274</v>
      </c>
      <c r="B89" s="81" t="s">
        <v>238</v>
      </c>
      <c r="C89" s="81" t="s">
        <v>239</v>
      </c>
      <c r="D89" s="81" t="s">
        <v>240</v>
      </c>
      <c r="E89" s="82">
        <v>100011214826</v>
      </c>
      <c r="F89" s="82" t="s">
        <v>241</v>
      </c>
      <c r="G89" s="90" t="s">
        <v>148</v>
      </c>
      <c r="H89" s="93">
        <v>46538</v>
      </c>
    </row>
    <row r="90" spans="1:8" ht="18.600000000000001" hidden="1" customHeight="1">
      <c r="A90" s="92" t="s">
        <v>274</v>
      </c>
      <c r="B90" s="81" t="s">
        <v>238</v>
      </c>
      <c r="C90" s="81" t="s">
        <v>239</v>
      </c>
      <c r="D90" s="81" t="s">
        <v>240</v>
      </c>
      <c r="E90" s="82">
        <v>100011214825</v>
      </c>
      <c r="F90" s="82" t="s">
        <v>242</v>
      </c>
      <c r="G90" s="90" t="s">
        <v>148</v>
      </c>
      <c r="H90" s="93">
        <v>46538</v>
      </c>
    </row>
    <row r="91" spans="1:8" ht="18.600000000000001" hidden="1" customHeight="1">
      <c r="A91" s="92" t="s">
        <v>274</v>
      </c>
      <c r="B91" s="81" t="s">
        <v>264</v>
      </c>
      <c r="C91" s="81" t="s">
        <v>243</v>
      </c>
      <c r="D91" s="81" t="s">
        <v>244</v>
      </c>
      <c r="E91" s="82">
        <v>100011228717</v>
      </c>
      <c r="F91" s="82">
        <v>240723091</v>
      </c>
      <c r="G91" s="90" t="s">
        <v>148</v>
      </c>
      <c r="H91" s="93">
        <v>46356</v>
      </c>
    </row>
    <row r="92" spans="1:8" ht="18.600000000000001" hidden="1" customHeight="1">
      <c r="A92" s="92" t="s">
        <v>274</v>
      </c>
      <c r="B92" s="81" t="s">
        <v>265</v>
      </c>
      <c r="C92" s="81" t="s">
        <v>245</v>
      </c>
      <c r="D92" s="81" t="s">
        <v>246</v>
      </c>
      <c r="E92" s="82" t="s">
        <v>92</v>
      </c>
      <c r="F92" s="82" t="s">
        <v>247</v>
      </c>
      <c r="G92" s="90" t="s">
        <v>148</v>
      </c>
      <c r="H92" s="93" t="s">
        <v>272</v>
      </c>
    </row>
    <row r="93" spans="1:8" ht="18.600000000000001" hidden="1" customHeight="1">
      <c r="A93" s="92" t="s">
        <v>274</v>
      </c>
      <c r="B93" s="81" t="s">
        <v>266</v>
      </c>
      <c r="C93" s="81" t="s">
        <v>248</v>
      </c>
      <c r="D93" s="81" t="s">
        <v>249</v>
      </c>
      <c r="E93" s="82">
        <v>100011202255</v>
      </c>
      <c r="F93" s="82" t="s">
        <v>250</v>
      </c>
      <c r="G93" s="90" t="s">
        <v>148</v>
      </c>
      <c r="H93" s="93">
        <v>46507</v>
      </c>
    </row>
    <row r="94" spans="1:8" ht="18.600000000000001" hidden="1" customHeight="1">
      <c r="A94" s="92" t="s">
        <v>274</v>
      </c>
      <c r="B94" s="81" t="s">
        <v>137</v>
      </c>
      <c r="C94" s="81" t="s">
        <v>251</v>
      </c>
      <c r="D94" s="81" t="s">
        <v>252</v>
      </c>
      <c r="E94" s="82">
        <v>100011237690</v>
      </c>
      <c r="F94" s="82" t="s">
        <v>92</v>
      </c>
      <c r="G94" s="90" t="s">
        <v>148</v>
      </c>
      <c r="H94" s="93">
        <v>46538</v>
      </c>
    </row>
    <row r="95" spans="1:8" ht="18.600000000000001" hidden="1" customHeight="1">
      <c r="A95" s="92" t="s">
        <v>274</v>
      </c>
      <c r="B95" s="81" t="s">
        <v>137</v>
      </c>
      <c r="C95" s="81" t="s">
        <v>251</v>
      </c>
      <c r="D95" s="81" t="s">
        <v>252</v>
      </c>
      <c r="E95" s="82">
        <v>100011237691</v>
      </c>
      <c r="F95" s="82" t="s">
        <v>92</v>
      </c>
      <c r="G95" s="90" t="s">
        <v>148</v>
      </c>
      <c r="H95" s="93">
        <v>46538</v>
      </c>
    </row>
    <row r="96" spans="1:8" ht="18.600000000000001" hidden="1" customHeight="1">
      <c r="A96" s="92" t="s">
        <v>274</v>
      </c>
      <c r="B96" s="81" t="s">
        <v>267</v>
      </c>
      <c r="C96" s="81" t="s">
        <v>142</v>
      </c>
      <c r="D96" s="81" t="s">
        <v>253</v>
      </c>
      <c r="E96" s="82">
        <v>100010044893</v>
      </c>
      <c r="F96" s="82">
        <v>51020</v>
      </c>
      <c r="G96" s="90" t="s">
        <v>148</v>
      </c>
      <c r="H96" s="93">
        <v>46538</v>
      </c>
    </row>
    <row r="97" spans="1:8" ht="18.600000000000001" hidden="1" customHeight="1">
      <c r="A97" s="92" t="s">
        <v>274</v>
      </c>
      <c r="B97" s="81" t="s">
        <v>206</v>
      </c>
      <c r="C97" s="81" t="s">
        <v>142</v>
      </c>
      <c r="D97" s="81" t="s">
        <v>254</v>
      </c>
      <c r="E97" s="82">
        <v>100010071233</v>
      </c>
      <c r="F97" s="87" t="s">
        <v>183</v>
      </c>
      <c r="G97" s="90" t="s">
        <v>148</v>
      </c>
      <c r="H97" s="93">
        <v>46538</v>
      </c>
    </row>
    <row r="98" spans="1:8" ht="18.600000000000001" hidden="1" customHeight="1">
      <c r="A98" s="92" t="s">
        <v>274</v>
      </c>
      <c r="B98" s="81" t="s">
        <v>268</v>
      </c>
      <c r="C98" s="81" t="s">
        <v>255</v>
      </c>
      <c r="D98" s="81" t="s">
        <v>225</v>
      </c>
      <c r="E98" s="82" t="s">
        <v>225</v>
      </c>
      <c r="F98" s="82" t="s">
        <v>92</v>
      </c>
      <c r="G98" s="90" t="s">
        <v>148</v>
      </c>
      <c r="H98" s="93" t="s">
        <v>92</v>
      </c>
    </row>
    <row r="99" spans="1:8" ht="18.600000000000001" hidden="1" customHeight="1">
      <c r="A99" s="92" t="s">
        <v>274</v>
      </c>
      <c r="B99" s="96" t="s">
        <v>139</v>
      </c>
      <c r="C99" s="96" t="s">
        <v>243</v>
      </c>
      <c r="D99" s="96" t="s">
        <v>256</v>
      </c>
      <c r="E99" s="97" t="s">
        <v>225</v>
      </c>
      <c r="F99" s="97" t="s">
        <v>92</v>
      </c>
      <c r="G99" s="98" t="s">
        <v>148</v>
      </c>
      <c r="H99" s="99">
        <v>46234</v>
      </c>
    </row>
    <row r="100" spans="1:8" ht="18.600000000000001" customHeight="1">
      <c r="A100" s="92" t="s">
        <v>314</v>
      </c>
      <c r="B100" s="85" t="s">
        <v>275</v>
      </c>
      <c r="C100" s="81" t="s">
        <v>33</v>
      </c>
      <c r="D100" s="85" t="s">
        <v>276</v>
      </c>
      <c r="E100" s="88" t="s">
        <v>225</v>
      </c>
      <c r="F100" s="102" t="s">
        <v>92</v>
      </c>
      <c r="G100" s="83" t="s">
        <v>35</v>
      </c>
      <c r="H100" s="103" t="s">
        <v>277</v>
      </c>
    </row>
    <row r="101" spans="1:8" ht="18.600000000000001" customHeight="1">
      <c r="A101" s="92" t="s">
        <v>314</v>
      </c>
      <c r="B101" s="85" t="s">
        <v>36</v>
      </c>
      <c r="C101" s="81" t="s">
        <v>37</v>
      </c>
      <c r="D101" s="104" t="s">
        <v>153</v>
      </c>
      <c r="E101" s="100">
        <v>100011145063</v>
      </c>
      <c r="F101" s="88" t="s">
        <v>278</v>
      </c>
      <c r="G101" s="83" t="s">
        <v>35</v>
      </c>
      <c r="H101" s="84">
        <v>46203</v>
      </c>
    </row>
    <row r="102" spans="1:8" ht="18.600000000000001" customHeight="1">
      <c r="A102" s="92" t="s">
        <v>314</v>
      </c>
      <c r="B102" s="85" t="s">
        <v>279</v>
      </c>
      <c r="C102" s="85" t="s">
        <v>280</v>
      </c>
      <c r="D102" s="104" t="s">
        <v>281</v>
      </c>
      <c r="E102" s="100">
        <v>100010030703</v>
      </c>
      <c r="F102" s="105" t="s">
        <v>282</v>
      </c>
      <c r="G102" s="83" t="s">
        <v>35</v>
      </c>
      <c r="H102" s="84">
        <v>46203</v>
      </c>
    </row>
    <row r="103" spans="1:8" ht="18.600000000000001" customHeight="1">
      <c r="A103" s="92" t="s">
        <v>314</v>
      </c>
      <c r="B103" s="85" t="s">
        <v>234</v>
      </c>
      <c r="C103" s="81" t="s">
        <v>235</v>
      </c>
      <c r="D103" s="104" t="s">
        <v>158</v>
      </c>
      <c r="E103" s="100">
        <v>-100011197641</v>
      </c>
      <c r="F103" s="105" t="s">
        <v>283</v>
      </c>
      <c r="G103" s="83" t="s">
        <v>35</v>
      </c>
      <c r="H103" s="84">
        <v>46265</v>
      </c>
    </row>
    <row r="104" spans="1:8" ht="18.600000000000001" customHeight="1">
      <c r="A104" s="92" t="s">
        <v>314</v>
      </c>
      <c r="B104" s="81" t="s">
        <v>67</v>
      </c>
      <c r="C104" s="104" t="s">
        <v>284</v>
      </c>
      <c r="D104" s="104" t="s">
        <v>285</v>
      </c>
      <c r="E104" s="100">
        <v>-100011197641</v>
      </c>
      <c r="F104" s="105" t="s">
        <v>283</v>
      </c>
      <c r="G104" s="83" t="s">
        <v>35</v>
      </c>
      <c r="H104" s="84">
        <v>46265</v>
      </c>
    </row>
    <row r="105" spans="1:8" ht="18.600000000000001" customHeight="1">
      <c r="A105" s="92" t="s">
        <v>314</v>
      </c>
      <c r="B105" s="85" t="s">
        <v>286</v>
      </c>
      <c r="C105" s="104" t="s">
        <v>287</v>
      </c>
      <c r="D105" s="104" t="s">
        <v>288</v>
      </c>
      <c r="E105" s="100">
        <v>100011208484</v>
      </c>
      <c r="F105" s="105" t="s">
        <v>289</v>
      </c>
      <c r="G105" s="83" t="s">
        <v>35</v>
      </c>
      <c r="H105" s="84">
        <v>46265</v>
      </c>
    </row>
    <row r="106" spans="1:8" ht="18.600000000000001" customHeight="1">
      <c r="A106" s="92" t="s">
        <v>314</v>
      </c>
      <c r="B106" s="85" t="s">
        <v>290</v>
      </c>
      <c r="C106" s="104" t="s">
        <v>287</v>
      </c>
      <c r="D106" s="104" t="s">
        <v>178</v>
      </c>
      <c r="E106" s="100">
        <v>-100011197641</v>
      </c>
      <c r="F106" s="105" t="s">
        <v>283</v>
      </c>
      <c r="G106" s="83" t="s">
        <v>35</v>
      </c>
      <c r="H106" s="84">
        <v>46265</v>
      </c>
    </row>
    <row r="107" spans="1:8" ht="18.600000000000001" customHeight="1">
      <c r="A107" s="92" t="s">
        <v>314</v>
      </c>
      <c r="B107" s="85" t="s">
        <v>291</v>
      </c>
      <c r="C107" s="104" t="s">
        <v>287</v>
      </c>
      <c r="D107" s="104" t="s">
        <v>178</v>
      </c>
      <c r="E107" s="100">
        <v>-100011197641</v>
      </c>
      <c r="F107" s="105" t="s">
        <v>283</v>
      </c>
      <c r="G107" s="83" t="s">
        <v>35</v>
      </c>
      <c r="H107" s="84">
        <v>46265</v>
      </c>
    </row>
    <row r="108" spans="1:8" ht="18.600000000000001" customHeight="1">
      <c r="A108" s="92" t="s">
        <v>314</v>
      </c>
      <c r="B108" s="85" t="s">
        <v>291</v>
      </c>
      <c r="C108" s="104" t="s">
        <v>287</v>
      </c>
      <c r="D108" s="104" t="s">
        <v>178</v>
      </c>
      <c r="E108" s="100">
        <v>-100011197641</v>
      </c>
      <c r="F108" s="105" t="s">
        <v>283</v>
      </c>
      <c r="G108" s="83" t="s">
        <v>35</v>
      </c>
      <c r="H108" s="84">
        <v>46265</v>
      </c>
    </row>
    <row r="109" spans="1:8" ht="18.600000000000001" customHeight="1">
      <c r="A109" s="92" t="s">
        <v>314</v>
      </c>
      <c r="B109" s="85" t="s">
        <v>292</v>
      </c>
      <c r="C109" s="104" t="s">
        <v>287</v>
      </c>
      <c r="D109" s="104" t="s">
        <v>178</v>
      </c>
      <c r="E109" s="100">
        <v>-100011197641</v>
      </c>
      <c r="F109" s="105" t="s">
        <v>283</v>
      </c>
      <c r="G109" s="83" t="s">
        <v>35</v>
      </c>
      <c r="H109" s="84">
        <v>46265</v>
      </c>
    </row>
    <row r="110" spans="1:8" ht="18.600000000000001" customHeight="1">
      <c r="A110" s="92" t="s">
        <v>314</v>
      </c>
      <c r="B110" s="85" t="s">
        <v>292</v>
      </c>
      <c r="C110" s="104" t="s">
        <v>287</v>
      </c>
      <c r="D110" s="104" t="s">
        <v>178</v>
      </c>
      <c r="E110" s="100">
        <v>-100011197641</v>
      </c>
      <c r="F110" s="105" t="s">
        <v>283</v>
      </c>
      <c r="G110" s="83" t="s">
        <v>35</v>
      </c>
      <c r="H110" s="84">
        <v>46265</v>
      </c>
    </row>
    <row r="111" spans="1:8" ht="18.600000000000001" customHeight="1">
      <c r="A111" s="92" t="s">
        <v>314</v>
      </c>
      <c r="B111" s="85" t="s">
        <v>292</v>
      </c>
      <c r="C111" s="104" t="s">
        <v>287</v>
      </c>
      <c r="D111" s="104" t="s">
        <v>178</v>
      </c>
      <c r="E111" s="100">
        <v>-100011197641</v>
      </c>
      <c r="F111" s="105" t="s">
        <v>283</v>
      </c>
      <c r="G111" s="83" t="s">
        <v>35</v>
      </c>
      <c r="H111" s="84">
        <v>46265</v>
      </c>
    </row>
    <row r="112" spans="1:8" ht="18.600000000000001" customHeight="1">
      <c r="A112" s="92" t="s">
        <v>314</v>
      </c>
      <c r="B112" s="85" t="s">
        <v>292</v>
      </c>
      <c r="C112" s="104" t="s">
        <v>287</v>
      </c>
      <c r="D112" s="104" t="s">
        <v>178</v>
      </c>
      <c r="E112" s="100">
        <v>-100011197641</v>
      </c>
      <c r="F112" s="105" t="s">
        <v>283</v>
      </c>
      <c r="G112" s="83" t="s">
        <v>35</v>
      </c>
      <c r="H112" s="84">
        <v>46265</v>
      </c>
    </row>
    <row r="113" spans="1:8" ht="18.600000000000001" customHeight="1">
      <c r="A113" s="92" t="s">
        <v>314</v>
      </c>
      <c r="B113" s="85" t="s">
        <v>293</v>
      </c>
      <c r="C113" s="104" t="s">
        <v>179</v>
      </c>
      <c r="D113" s="104" t="s">
        <v>180</v>
      </c>
      <c r="E113" s="100">
        <v>-100011197641</v>
      </c>
      <c r="F113" s="105" t="s">
        <v>283</v>
      </c>
      <c r="G113" s="83" t="s">
        <v>35</v>
      </c>
      <c r="H113" s="84">
        <v>46265</v>
      </c>
    </row>
    <row r="114" spans="1:8" ht="18.600000000000001" customHeight="1">
      <c r="A114" s="92" t="s">
        <v>314</v>
      </c>
      <c r="B114" s="85" t="s">
        <v>294</v>
      </c>
      <c r="C114" s="104" t="s">
        <v>179</v>
      </c>
      <c r="D114" s="104" t="s">
        <v>180</v>
      </c>
      <c r="E114" s="100">
        <v>-100011197641</v>
      </c>
      <c r="F114" s="105" t="s">
        <v>283</v>
      </c>
      <c r="G114" s="83" t="s">
        <v>35</v>
      </c>
      <c r="H114" s="84">
        <v>46265</v>
      </c>
    </row>
    <row r="115" spans="1:8" ht="18.600000000000001" customHeight="1">
      <c r="A115" s="92" t="s">
        <v>314</v>
      </c>
      <c r="B115" s="106" t="s">
        <v>295</v>
      </c>
      <c r="C115" s="106" t="s">
        <v>296</v>
      </c>
      <c r="D115" s="106" t="s">
        <v>297</v>
      </c>
      <c r="E115" s="88" t="s">
        <v>225</v>
      </c>
      <c r="F115" s="105" t="s">
        <v>92</v>
      </c>
      <c r="G115" s="83" t="s">
        <v>35</v>
      </c>
      <c r="H115" s="84">
        <v>46265</v>
      </c>
    </row>
    <row r="116" spans="1:8" ht="18.600000000000001" customHeight="1">
      <c r="A116" s="92" t="s">
        <v>314</v>
      </c>
      <c r="B116" s="106" t="s">
        <v>295</v>
      </c>
      <c r="C116" s="106" t="s">
        <v>296</v>
      </c>
      <c r="D116" s="106" t="s">
        <v>297</v>
      </c>
      <c r="E116" s="88" t="s">
        <v>225</v>
      </c>
      <c r="F116" s="105" t="s">
        <v>92</v>
      </c>
      <c r="G116" s="83" t="s">
        <v>35</v>
      </c>
      <c r="H116" s="84">
        <v>46265</v>
      </c>
    </row>
    <row r="117" spans="1:8" ht="18.600000000000001" customHeight="1">
      <c r="A117" s="92" t="s">
        <v>314</v>
      </c>
      <c r="B117" s="106" t="s">
        <v>298</v>
      </c>
      <c r="C117" s="106" t="s">
        <v>296</v>
      </c>
      <c r="D117" s="106" t="s">
        <v>297</v>
      </c>
      <c r="E117" s="88" t="s">
        <v>225</v>
      </c>
      <c r="F117" s="105" t="s">
        <v>92</v>
      </c>
      <c r="G117" s="83" t="s">
        <v>35</v>
      </c>
      <c r="H117" s="84">
        <v>46265</v>
      </c>
    </row>
    <row r="118" spans="1:8" ht="18.600000000000001" customHeight="1">
      <c r="A118" s="92" t="s">
        <v>314</v>
      </c>
      <c r="B118" s="106" t="s">
        <v>299</v>
      </c>
      <c r="C118" s="106" t="s">
        <v>296</v>
      </c>
      <c r="D118" s="106" t="s">
        <v>300</v>
      </c>
      <c r="E118" s="88" t="s">
        <v>225</v>
      </c>
      <c r="F118" s="105" t="s">
        <v>92</v>
      </c>
      <c r="G118" s="83" t="s">
        <v>35</v>
      </c>
      <c r="H118" s="84">
        <v>46265</v>
      </c>
    </row>
    <row r="119" spans="1:8" ht="18.600000000000001" customHeight="1">
      <c r="A119" s="92" t="s">
        <v>314</v>
      </c>
      <c r="B119" s="81" t="s">
        <v>83</v>
      </c>
      <c r="C119" s="81" t="s">
        <v>45</v>
      </c>
      <c r="D119" s="104" t="s">
        <v>181</v>
      </c>
      <c r="E119" s="100">
        <v>100010071222</v>
      </c>
      <c r="F119" s="107" t="s">
        <v>301</v>
      </c>
      <c r="G119" s="83" t="s">
        <v>35</v>
      </c>
      <c r="H119" s="84">
        <v>46265</v>
      </c>
    </row>
    <row r="120" spans="1:8" ht="18.600000000000001" customHeight="1">
      <c r="A120" s="92" t="s">
        <v>314</v>
      </c>
      <c r="B120" s="81" t="s">
        <v>86</v>
      </c>
      <c r="C120" s="81" t="s">
        <v>45</v>
      </c>
      <c r="D120" s="104" t="s">
        <v>182</v>
      </c>
      <c r="E120" s="100">
        <v>100010071221</v>
      </c>
      <c r="F120" s="107" t="s">
        <v>302</v>
      </c>
      <c r="G120" s="83" t="s">
        <v>35</v>
      </c>
      <c r="H120" s="84">
        <v>46265</v>
      </c>
    </row>
    <row r="121" spans="1:8" ht="18.600000000000001" customHeight="1">
      <c r="A121" s="92" t="s">
        <v>314</v>
      </c>
      <c r="B121" s="85" t="s">
        <v>303</v>
      </c>
      <c r="C121" s="81" t="s">
        <v>255</v>
      </c>
      <c r="D121" s="106" t="s">
        <v>304</v>
      </c>
      <c r="E121" s="105" t="s">
        <v>92</v>
      </c>
      <c r="F121" s="105" t="s">
        <v>92</v>
      </c>
      <c r="G121" s="83" t="s">
        <v>35</v>
      </c>
      <c r="H121" s="88" t="s">
        <v>225</v>
      </c>
    </row>
    <row r="122" spans="1:8" ht="18.600000000000001" customHeight="1">
      <c r="A122" s="92" t="s">
        <v>314</v>
      </c>
      <c r="B122" s="85" t="s">
        <v>305</v>
      </c>
      <c r="C122" s="104" t="s">
        <v>185</v>
      </c>
      <c r="D122" s="104" t="s">
        <v>186</v>
      </c>
      <c r="E122" s="100">
        <v>-100011197641</v>
      </c>
      <c r="F122" s="105" t="s">
        <v>283</v>
      </c>
      <c r="G122" s="83" t="s">
        <v>35</v>
      </c>
      <c r="H122" s="88" t="s">
        <v>225</v>
      </c>
    </row>
    <row r="123" spans="1:8" ht="18.600000000000001" customHeight="1">
      <c r="A123" s="92" t="s">
        <v>314</v>
      </c>
      <c r="B123" s="85" t="s">
        <v>108</v>
      </c>
      <c r="C123" s="85" t="s">
        <v>166</v>
      </c>
      <c r="D123" s="104" t="s">
        <v>187</v>
      </c>
      <c r="E123" s="100">
        <v>100011214827</v>
      </c>
      <c r="F123" s="105" t="s">
        <v>306</v>
      </c>
      <c r="G123" s="83" t="s">
        <v>35</v>
      </c>
      <c r="H123" s="84">
        <v>46265</v>
      </c>
    </row>
    <row r="124" spans="1:8" ht="18.600000000000001" customHeight="1">
      <c r="A124" s="92" t="s">
        <v>314</v>
      </c>
      <c r="B124" s="85" t="s">
        <v>108</v>
      </c>
      <c r="C124" s="85" t="s">
        <v>166</v>
      </c>
      <c r="D124" s="104" t="s">
        <v>187</v>
      </c>
      <c r="E124" s="100">
        <v>100011214828</v>
      </c>
      <c r="F124" s="105" t="s">
        <v>307</v>
      </c>
      <c r="G124" s="83" t="s">
        <v>35</v>
      </c>
      <c r="H124" s="84">
        <v>46265</v>
      </c>
    </row>
    <row r="125" spans="1:8" ht="18.600000000000001" customHeight="1">
      <c r="A125" s="92" t="s">
        <v>314</v>
      </c>
      <c r="B125" s="85" t="s">
        <v>97</v>
      </c>
      <c r="C125" s="85" t="s">
        <v>308</v>
      </c>
      <c r="D125" s="104" t="s">
        <v>309</v>
      </c>
      <c r="E125" s="88" t="s">
        <v>225</v>
      </c>
      <c r="F125" s="105" t="s">
        <v>92</v>
      </c>
      <c r="G125" s="83" t="s">
        <v>35</v>
      </c>
      <c r="H125" s="84">
        <v>46265</v>
      </c>
    </row>
    <row r="126" spans="1:8" ht="18.600000000000001" customHeight="1">
      <c r="A126" s="92" t="s">
        <v>314</v>
      </c>
      <c r="B126" s="85" t="s">
        <v>97</v>
      </c>
      <c r="C126" s="85" t="s">
        <v>308</v>
      </c>
      <c r="D126" s="104" t="s">
        <v>309</v>
      </c>
      <c r="E126" s="88" t="s">
        <v>225</v>
      </c>
      <c r="F126" s="105" t="s">
        <v>92</v>
      </c>
      <c r="G126" s="83" t="s">
        <v>35</v>
      </c>
      <c r="H126" s="84">
        <v>46265</v>
      </c>
    </row>
    <row r="127" spans="1:8" ht="18.600000000000001" customHeight="1">
      <c r="A127" s="92" t="s">
        <v>314</v>
      </c>
      <c r="B127" s="85" t="s">
        <v>191</v>
      </c>
      <c r="C127" s="85" t="s">
        <v>194</v>
      </c>
      <c r="D127" s="85" t="s">
        <v>310</v>
      </c>
      <c r="E127" s="105">
        <v>100011228714</v>
      </c>
      <c r="F127" s="105">
        <v>240723088</v>
      </c>
      <c r="G127" s="83" t="s">
        <v>35</v>
      </c>
      <c r="H127" s="84">
        <v>46356</v>
      </c>
    </row>
    <row r="128" spans="1:8" ht="18.600000000000001" customHeight="1">
      <c r="A128" s="92" t="s">
        <v>314</v>
      </c>
      <c r="B128" s="81" t="s">
        <v>103</v>
      </c>
      <c r="C128" s="85" t="s">
        <v>194</v>
      </c>
      <c r="D128" s="85" t="s">
        <v>195</v>
      </c>
      <c r="E128" s="105">
        <v>100011181646</v>
      </c>
      <c r="F128" s="105">
        <v>210922269</v>
      </c>
      <c r="G128" s="83" t="s">
        <v>35</v>
      </c>
      <c r="H128" s="84">
        <v>46538</v>
      </c>
    </row>
    <row r="129" spans="1:8" ht="18.600000000000001" hidden="1" customHeight="1">
      <c r="A129" s="92" t="s">
        <v>322</v>
      </c>
      <c r="B129" s="81" t="s">
        <v>319</v>
      </c>
      <c r="C129" s="81" t="s">
        <v>140</v>
      </c>
      <c r="D129" s="81" t="s">
        <v>313</v>
      </c>
      <c r="E129" s="82">
        <v>100011219991</v>
      </c>
      <c r="F129" s="82">
        <v>205161</v>
      </c>
      <c r="G129" s="90" t="s">
        <v>148</v>
      </c>
      <c r="H129" s="93">
        <v>46326</v>
      </c>
    </row>
    <row r="130" spans="1:8" ht="18.600000000000001" hidden="1" customHeight="1">
      <c r="A130" s="92" t="s">
        <v>322</v>
      </c>
      <c r="B130" s="81" t="s">
        <v>311</v>
      </c>
      <c r="C130" s="81" t="s">
        <v>280</v>
      </c>
      <c r="D130" s="81" t="s">
        <v>281</v>
      </c>
      <c r="E130" s="82">
        <v>100010080371</v>
      </c>
      <c r="F130" s="82" t="s">
        <v>219</v>
      </c>
      <c r="G130" s="90" t="s">
        <v>148</v>
      </c>
      <c r="H130" s="93">
        <v>46418</v>
      </c>
    </row>
    <row r="131" spans="1:8" ht="18.600000000000001" hidden="1" customHeight="1">
      <c r="A131" s="92" t="s">
        <v>322</v>
      </c>
      <c r="B131" s="81" t="s">
        <v>320</v>
      </c>
      <c r="C131" s="81" t="s">
        <v>213</v>
      </c>
      <c r="D131" s="81" t="s">
        <v>178</v>
      </c>
      <c r="E131" s="82">
        <v>100011241566</v>
      </c>
      <c r="F131" s="82" t="s">
        <v>315</v>
      </c>
      <c r="G131" s="90" t="s">
        <v>148</v>
      </c>
      <c r="H131" s="93">
        <v>46418</v>
      </c>
    </row>
    <row r="132" spans="1:8" ht="18.600000000000001" hidden="1" customHeight="1">
      <c r="A132" s="92" t="s">
        <v>322</v>
      </c>
      <c r="B132" s="81" t="s">
        <v>321</v>
      </c>
      <c r="C132" s="81" t="s">
        <v>213</v>
      </c>
      <c r="D132" s="81" t="s">
        <v>178</v>
      </c>
      <c r="E132" s="82">
        <v>100011241564</v>
      </c>
      <c r="F132" s="82" t="s">
        <v>316</v>
      </c>
      <c r="G132" s="90" t="s">
        <v>148</v>
      </c>
      <c r="H132" s="93">
        <v>46418</v>
      </c>
    </row>
    <row r="133" spans="1:8" ht="18.600000000000001" hidden="1" customHeight="1">
      <c r="A133" s="92" t="s">
        <v>322</v>
      </c>
      <c r="B133" s="81" t="s">
        <v>320</v>
      </c>
      <c r="C133" s="81" t="s">
        <v>213</v>
      </c>
      <c r="D133" s="81" t="s">
        <v>178</v>
      </c>
      <c r="E133" s="82">
        <v>100011241567</v>
      </c>
      <c r="F133" s="82" t="s">
        <v>221</v>
      </c>
      <c r="G133" s="90" t="s">
        <v>148</v>
      </c>
      <c r="H133" s="93" t="s">
        <v>225</v>
      </c>
    </row>
    <row r="134" spans="1:8" ht="18.600000000000001" hidden="1" customHeight="1">
      <c r="A134" s="92" t="s">
        <v>322</v>
      </c>
      <c r="B134" s="81" t="s">
        <v>321</v>
      </c>
      <c r="C134" s="81" t="s">
        <v>213</v>
      </c>
      <c r="D134" s="81" t="s">
        <v>178</v>
      </c>
      <c r="E134" s="82">
        <v>100011241565</v>
      </c>
      <c r="F134" s="82" t="s">
        <v>317</v>
      </c>
      <c r="G134" s="90" t="s">
        <v>148</v>
      </c>
      <c r="H134" s="93">
        <v>46418</v>
      </c>
    </row>
    <row r="135" spans="1:8" ht="18.600000000000001" hidden="1" customHeight="1">
      <c r="A135" s="92" t="s">
        <v>322</v>
      </c>
      <c r="B135" s="81" t="s">
        <v>267</v>
      </c>
      <c r="C135" s="81" t="s">
        <v>142</v>
      </c>
      <c r="D135" s="81" t="s">
        <v>181</v>
      </c>
      <c r="E135" s="82">
        <v>100010205755</v>
      </c>
      <c r="F135" s="82">
        <v>1120034</v>
      </c>
      <c r="G135" s="90" t="s">
        <v>148</v>
      </c>
      <c r="H135" s="93">
        <v>46418</v>
      </c>
    </row>
    <row r="136" spans="1:8" ht="18.600000000000001" hidden="1" customHeight="1">
      <c r="A136" s="92" t="s">
        <v>322</v>
      </c>
      <c r="B136" s="81" t="s">
        <v>206</v>
      </c>
      <c r="C136" s="81" t="s">
        <v>142</v>
      </c>
      <c r="D136" s="81" t="s">
        <v>182</v>
      </c>
      <c r="E136" s="82">
        <v>100010086208</v>
      </c>
      <c r="F136" s="82" t="s">
        <v>88</v>
      </c>
      <c r="G136" s="90" t="s">
        <v>148</v>
      </c>
      <c r="H136" s="93">
        <v>46203</v>
      </c>
    </row>
    <row r="137" spans="1:8" ht="18.600000000000001" hidden="1" customHeight="1">
      <c r="A137" s="92" t="s">
        <v>322</v>
      </c>
      <c r="B137" s="81" t="s">
        <v>312</v>
      </c>
      <c r="C137" s="81" t="s">
        <v>255</v>
      </c>
      <c r="D137" s="81" t="s">
        <v>225</v>
      </c>
      <c r="E137" s="82" t="s">
        <v>225</v>
      </c>
      <c r="F137" s="82" t="s">
        <v>92</v>
      </c>
      <c r="G137" s="90" t="s">
        <v>148</v>
      </c>
      <c r="H137" s="93" t="s">
        <v>225</v>
      </c>
    </row>
    <row r="138" spans="1:8" ht="18.600000000000001" hidden="1" customHeight="1">
      <c r="A138" s="92" t="s">
        <v>322</v>
      </c>
      <c r="B138" s="81" t="s">
        <v>108</v>
      </c>
      <c r="C138" s="81" t="s">
        <v>166</v>
      </c>
      <c r="D138" s="81" t="s">
        <v>187</v>
      </c>
      <c r="E138" s="82">
        <v>100011214823</v>
      </c>
      <c r="F138" s="82" t="s">
        <v>88</v>
      </c>
      <c r="G138" s="90" t="s">
        <v>148</v>
      </c>
      <c r="H138" s="93">
        <v>46053</v>
      </c>
    </row>
    <row r="139" spans="1:8" ht="18.600000000000001" hidden="1" customHeight="1">
      <c r="A139" s="92" t="s">
        <v>322</v>
      </c>
      <c r="B139" s="81" t="s">
        <v>108</v>
      </c>
      <c r="C139" s="81" t="s">
        <v>166</v>
      </c>
      <c r="D139" s="81" t="s">
        <v>187</v>
      </c>
      <c r="E139" s="82">
        <v>100011214824</v>
      </c>
      <c r="F139" s="82" t="s">
        <v>318</v>
      </c>
      <c r="G139" s="90" t="s">
        <v>148</v>
      </c>
      <c r="H139" s="93">
        <v>46053</v>
      </c>
    </row>
    <row r="140" spans="1:8" ht="18.600000000000001" hidden="1" customHeight="1">
      <c r="A140" s="92" t="s">
        <v>322</v>
      </c>
      <c r="B140" s="81" t="s">
        <v>137</v>
      </c>
      <c r="C140" s="81" t="s">
        <v>308</v>
      </c>
      <c r="D140" s="81" t="s">
        <v>309</v>
      </c>
      <c r="E140" s="82">
        <v>100011237688</v>
      </c>
      <c r="F140" s="82" t="s">
        <v>92</v>
      </c>
      <c r="G140" s="90" t="s">
        <v>148</v>
      </c>
      <c r="H140" s="93">
        <v>46418</v>
      </c>
    </row>
    <row r="141" spans="1:8" ht="18.600000000000001" hidden="1" customHeight="1">
      <c r="A141" s="92" t="s">
        <v>322</v>
      </c>
      <c r="B141" s="81" t="s">
        <v>137</v>
      </c>
      <c r="C141" s="81" t="s">
        <v>308</v>
      </c>
      <c r="D141" s="81" t="s">
        <v>309</v>
      </c>
      <c r="E141" s="82">
        <v>100011237689</v>
      </c>
      <c r="F141" s="82" t="s">
        <v>92</v>
      </c>
      <c r="G141" s="90" t="s">
        <v>148</v>
      </c>
      <c r="H141" s="93">
        <v>46419</v>
      </c>
    </row>
    <row r="142" spans="1:8" ht="18.600000000000001" hidden="1" customHeight="1">
      <c r="A142" s="92" t="s">
        <v>322</v>
      </c>
      <c r="B142" s="81" t="s">
        <v>210</v>
      </c>
      <c r="C142" s="81" t="s">
        <v>194</v>
      </c>
      <c r="D142" s="81" t="s">
        <v>310</v>
      </c>
      <c r="E142" s="82">
        <v>100011228716</v>
      </c>
      <c r="F142" s="82">
        <v>240723090</v>
      </c>
      <c r="G142" s="90" t="s">
        <v>148</v>
      </c>
      <c r="H142" s="93">
        <v>46356</v>
      </c>
    </row>
    <row r="143" spans="1:8" ht="18.600000000000001" hidden="1" customHeight="1">
      <c r="A143" s="92" t="s">
        <v>322</v>
      </c>
      <c r="B143" s="96" t="s">
        <v>139</v>
      </c>
      <c r="C143" s="96" t="s">
        <v>194</v>
      </c>
      <c r="D143" s="96" t="s">
        <v>195</v>
      </c>
      <c r="E143" s="97">
        <v>100011084962</v>
      </c>
      <c r="F143" s="97">
        <v>180824819</v>
      </c>
      <c r="G143" s="98" t="s">
        <v>148</v>
      </c>
      <c r="H143" s="99">
        <v>46265</v>
      </c>
    </row>
  </sheetData>
  <phoneticPr fontId="2"/>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D875-FF2A-4C1D-9626-3C9C0B1EF5F2}">
  <dimension ref="A1:A24"/>
  <sheetViews>
    <sheetView workbookViewId="0">
      <selection activeCell="A2" sqref="A2"/>
    </sheetView>
  </sheetViews>
  <sheetFormatPr defaultRowHeight="13.2"/>
  <cols>
    <col min="1" max="1" width="32.109375" customWidth="1"/>
  </cols>
  <sheetData>
    <row r="1" spans="1:1" ht="18">
      <c r="A1" s="108" t="s">
        <v>31</v>
      </c>
    </row>
    <row r="2" spans="1:1">
      <c r="A2" t="str" cm="1">
        <f t="array" ref="A2:A24">_xlfn._xlws.FILTER(master!B:B, (master!$A:$A=試験装置・計測器一覧表!$D$7), "該当なし")</f>
        <v>電波暗室2</v>
      </c>
    </row>
    <row r="3" spans="1:1">
      <c r="A3" t="str">
        <v>EMIテストレシーバ</v>
      </c>
    </row>
    <row r="4" spans="1:1">
      <c r="A4" t="str">
        <v>スペクトラムアナライザ</v>
      </c>
    </row>
    <row r="5" spans="1:1">
      <c r="A5" t="str">
        <v>アクティブロッドアンテナ</v>
      </c>
    </row>
    <row r="6" spans="1:1">
      <c r="A6" t="str">
        <v>バイコニカルアンテナ</v>
      </c>
    </row>
    <row r="7" spans="1:1">
      <c r="A7" t="str">
        <v>ログペリオディックアンテナ</v>
      </c>
    </row>
    <row r="8" spans="1:1">
      <c r="A8" t="str">
        <v>ダブルリッジホーンアンテナ[ BBHA ]</v>
      </c>
    </row>
    <row r="9" spans="1:1">
      <c r="A9" t="str">
        <v>ダブルリッジホーンアンテナ[ 3115 ]</v>
      </c>
    </row>
    <row r="10" spans="1:1">
      <c r="A10" t="str">
        <v>60cmループアンテナ</v>
      </c>
    </row>
    <row r="11" spans="1:1">
      <c r="A11" t="str">
        <v>6cmループアンテナ（暗室2用）</v>
      </c>
    </row>
    <row r="12" spans="1:1">
      <c r="A12" t="str">
        <v>プリアンプ[ SONOMA ]</v>
      </c>
    </row>
    <row r="13" spans="1:1">
      <c r="A13" t="str">
        <v>プリアンプ[ tsj ]</v>
      </c>
    </row>
    <row r="14" spans="1:1">
      <c r="A14" t="str">
        <v>プリアンプ[ 6cmループ用 ]</v>
      </c>
    </row>
    <row r="15" spans="1:1">
      <c r="A15" t="str">
        <v>暗室内同軸ケーブル</v>
      </c>
    </row>
    <row r="16" spans="1:1">
      <c r="A16" t="str">
        <v>電流プローブ[ 91550-1 ]</v>
      </c>
    </row>
    <row r="17" spans="1:1">
      <c r="A17" t="str">
        <v>電流プローブ[ 94111-1]</v>
      </c>
    </row>
    <row r="18" spans="1:1">
      <c r="A18" t="str">
        <v>3dBアッテネータ</v>
      </c>
    </row>
    <row r="19" spans="1:1">
      <c r="A19" t="str">
        <v>LISN</v>
      </c>
    </row>
    <row r="20" spans="1:1">
      <c r="A20" t="str">
        <v>LISN</v>
      </c>
    </row>
    <row r="21" spans="1:1">
      <c r="A21" t="str">
        <v>50Ω 終端抵抗</v>
      </c>
    </row>
    <row r="22" spans="1:1">
      <c r="A22" t="str">
        <v>50Ω 終端抵抗</v>
      </c>
    </row>
    <row r="23" spans="1:1">
      <c r="A23" t="str">
        <v>デジタルテスタ</v>
      </c>
    </row>
    <row r="24" spans="1:1">
      <c r="A24" t="str">
        <v>デジタル温湿度計</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AB69-1267-4AFD-A025-494DBFBCF7F9}">
  <sheetPr>
    <pageSetUpPr fitToPage="1"/>
  </sheetPr>
  <dimension ref="A1:BV445"/>
  <sheetViews>
    <sheetView showGridLines="0" zoomScaleNormal="100" workbookViewId="0">
      <selection activeCell="AS40" sqref="AS40"/>
    </sheetView>
  </sheetViews>
  <sheetFormatPr defaultRowHeight="13.2"/>
  <cols>
    <col min="1" max="33" width="2.33203125" customWidth="1"/>
    <col min="34" max="34" width="2.109375" customWidth="1"/>
    <col min="35" max="45" width="2.33203125" customWidth="1"/>
    <col min="48" max="56" width="2.33203125" customWidth="1"/>
    <col min="57" max="58" width="11" customWidth="1"/>
    <col min="59" max="65" width="2.33203125" customWidth="1"/>
    <col min="66" max="66" width="2.109375" customWidth="1"/>
    <col min="67" max="70" width="2.33203125" customWidth="1"/>
  </cols>
  <sheetData>
    <row r="1" spans="1:70" ht="15.9" customHeight="1">
      <c r="A1" t="s">
        <v>0</v>
      </c>
      <c r="AQ1" s="47" t="str">
        <f ca="1">_xlfn.SHEET()&amp;"/"&amp;_xlfn.SHEETS()</f>
        <v>4/4</v>
      </c>
    </row>
    <row r="2" spans="1:70" ht="21.9" customHeight="1">
      <c r="A2" s="1"/>
      <c r="B2" s="2"/>
      <c r="C2" s="3"/>
      <c r="D2" s="4"/>
      <c r="E2" s="4"/>
      <c r="F2" s="4"/>
      <c r="G2" s="4"/>
      <c r="H2" s="4"/>
      <c r="I2" s="4"/>
      <c r="J2" s="4"/>
      <c r="K2" s="4"/>
      <c r="L2" s="4"/>
      <c r="M2" s="4"/>
      <c r="N2" s="4"/>
      <c r="O2" s="4"/>
      <c r="P2" s="4"/>
      <c r="Q2" s="4"/>
      <c r="R2" s="4"/>
      <c r="S2" s="4"/>
      <c r="T2" s="4"/>
      <c r="U2" s="4"/>
      <c r="V2" s="4"/>
      <c r="W2" s="4"/>
      <c r="X2" s="4"/>
      <c r="Y2" s="4"/>
      <c r="Z2" s="4"/>
      <c r="AA2" s="4"/>
      <c r="AB2" s="4"/>
      <c r="AC2" s="4"/>
      <c r="AD2" s="4"/>
      <c r="AE2" s="172" t="s">
        <v>1</v>
      </c>
      <c r="AF2" s="164"/>
      <c r="AG2" s="173"/>
      <c r="AH2" s="163" t="e">
        <f>#REF!</f>
        <v>#REF!</v>
      </c>
      <c r="AI2" s="164"/>
      <c r="AJ2" s="164"/>
      <c r="AK2" s="164"/>
      <c r="AL2" s="164"/>
      <c r="AM2" s="164"/>
      <c r="AN2" s="164"/>
      <c r="AO2" s="164"/>
      <c r="AP2" s="164"/>
      <c r="AQ2" s="165"/>
      <c r="AR2" s="5"/>
    </row>
    <row r="3" spans="1:70" ht="21.9" customHeight="1">
      <c r="A3" s="6"/>
      <c r="C3" s="174" t="e">
        <f>#REF!</f>
        <v>#REF!</v>
      </c>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6"/>
      <c r="AE3" s="177" t="s">
        <v>2</v>
      </c>
      <c r="AF3" s="178"/>
      <c r="AG3" s="179"/>
      <c r="AH3" s="166" t="e">
        <f>#REF!</f>
        <v>#REF!</v>
      </c>
      <c r="AI3" s="167"/>
      <c r="AJ3" s="167"/>
      <c r="AK3" s="167"/>
      <c r="AL3" s="167"/>
      <c r="AM3" s="167"/>
      <c r="AN3" s="167"/>
      <c r="AO3" s="167"/>
      <c r="AP3" s="167"/>
      <c r="AQ3" s="168"/>
      <c r="AR3" s="7"/>
    </row>
    <row r="4" spans="1:70" ht="21.9" customHeight="1">
      <c r="A4" s="8"/>
      <c r="B4" s="9"/>
      <c r="C4" s="180" t="s">
        <v>22</v>
      </c>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2"/>
      <c r="AE4" s="169"/>
      <c r="AF4" s="170"/>
      <c r="AG4" s="170"/>
      <c r="AH4" s="170"/>
      <c r="AI4" s="170"/>
      <c r="AJ4" s="170"/>
      <c r="AK4" s="170"/>
      <c r="AL4" s="170"/>
      <c r="AM4" s="170"/>
      <c r="AN4" s="170"/>
      <c r="AO4" s="170"/>
      <c r="AP4" s="170"/>
      <c r="AQ4" s="171"/>
    </row>
    <row r="5" spans="1:70">
      <c r="C5" s="3"/>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11"/>
      <c r="BE5" s="61"/>
      <c r="BF5" s="61"/>
      <c r="BG5" s="48"/>
      <c r="BH5" s="48"/>
      <c r="BI5" s="50"/>
      <c r="BJ5" s="50"/>
      <c r="BK5" s="61"/>
      <c r="BL5" s="61"/>
      <c r="BM5" s="48"/>
      <c r="BN5" s="48"/>
      <c r="BO5" s="48"/>
      <c r="BP5" s="48"/>
      <c r="BQ5" s="48"/>
      <c r="BR5" s="48"/>
    </row>
    <row r="6" spans="1:70" ht="13.5" customHeight="1">
      <c r="C6" s="10"/>
      <c r="D6" s="19" t="s">
        <v>21</v>
      </c>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11"/>
      <c r="AV6" s="28"/>
      <c r="AW6" s="28"/>
      <c r="AX6" s="28"/>
      <c r="AY6" s="28"/>
      <c r="AZ6" s="28"/>
      <c r="BA6" s="28"/>
      <c r="BB6" s="28"/>
      <c r="BC6" s="28"/>
      <c r="BD6" s="28"/>
      <c r="BE6" s="62"/>
      <c r="BF6" s="62"/>
      <c r="BG6" s="62"/>
      <c r="BH6" s="62"/>
      <c r="BI6" s="62"/>
      <c r="BJ6" s="62"/>
      <c r="BK6" s="62"/>
      <c r="BL6" s="62"/>
      <c r="BM6" s="62"/>
      <c r="BN6" s="62"/>
      <c r="BO6" s="62"/>
      <c r="BP6" s="62"/>
      <c r="BQ6" s="62"/>
      <c r="BR6" s="62"/>
    </row>
    <row r="7" spans="1:70">
      <c r="A7" s="12"/>
      <c r="B7" s="13"/>
      <c r="C7" s="10"/>
      <c r="D7" s="151" t="s">
        <v>4</v>
      </c>
      <c r="E7" s="152"/>
      <c r="F7" s="152"/>
      <c r="G7" s="152"/>
      <c r="H7" s="152"/>
      <c r="I7" s="152"/>
      <c r="J7" s="152"/>
      <c r="K7" s="152"/>
      <c r="L7" s="153"/>
      <c r="M7" s="30" t="s">
        <v>5</v>
      </c>
      <c r="N7" s="31"/>
      <c r="O7" s="31"/>
      <c r="P7" s="31"/>
      <c r="Q7" s="31"/>
      <c r="R7" s="31"/>
      <c r="S7" s="32"/>
      <c r="T7" s="141" t="s">
        <v>6</v>
      </c>
      <c r="U7" s="142"/>
      <c r="V7" s="142"/>
      <c r="W7" s="142"/>
      <c r="X7" s="142"/>
      <c r="Y7" s="143"/>
      <c r="Z7" s="33" t="s">
        <v>7</v>
      </c>
      <c r="AA7" s="34"/>
      <c r="AB7" s="34"/>
      <c r="AC7" s="34"/>
      <c r="AD7" s="34"/>
      <c r="AE7" s="34"/>
      <c r="AF7" s="34"/>
      <c r="AG7" s="35"/>
      <c r="AH7" s="33" t="s">
        <v>8</v>
      </c>
      <c r="AI7" s="34"/>
      <c r="AJ7" s="34"/>
      <c r="AK7" s="34"/>
      <c r="AL7" s="34"/>
      <c r="AM7" s="34"/>
      <c r="AN7" s="35"/>
      <c r="AO7" s="28"/>
      <c r="AP7" s="28"/>
      <c r="AQ7" s="11"/>
      <c r="BE7" s="48"/>
      <c r="BF7" s="48"/>
      <c r="BG7" s="48"/>
      <c r="BH7" s="48"/>
      <c r="BI7" s="48"/>
      <c r="BJ7" s="48"/>
      <c r="BK7" s="48"/>
      <c r="BL7" s="48"/>
      <c r="BM7" s="48"/>
      <c r="BN7" s="48"/>
      <c r="BO7" s="61"/>
      <c r="BP7" s="61"/>
      <c r="BQ7" s="61"/>
      <c r="BR7" s="61"/>
    </row>
    <row r="8" spans="1:70">
      <c r="C8" s="10"/>
      <c r="D8" s="154"/>
      <c r="E8" s="155"/>
      <c r="F8" s="155"/>
      <c r="G8" s="155"/>
      <c r="H8" s="155"/>
      <c r="I8" s="155"/>
      <c r="J8" s="155"/>
      <c r="K8" s="155"/>
      <c r="L8" s="156"/>
      <c r="M8" s="36" t="s">
        <v>9</v>
      </c>
      <c r="N8" s="37"/>
      <c r="O8" s="37"/>
      <c r="P8" s="37"/>
      <c r="Q8" s="37"/>
      <c r="R8" s="37"/>
      <c r="S8" s="38"/>
      <c r="T8" s="144"/>
      <c r="U8" s="145"/>
      <c r="V8" s="145"/>
      <c r="W8" s="145"/>
      <c r="X8" s="145"/>
      <c r="Y8" s="146"/>
      <c r="Z8" s="39" t="s">
        <v>10</v>
      </c>
      <c r="AA8" s="40"/>
      <c r="AB8" s="40"/>
      <c r="AC8" s="40"/>
      <c r="AD8" s="40"/>
      <c r="AE8" s="40"/>
      <c r="AF8" s="40"/>
      <c r="AG8" s="41"/>
      <c r="AH8" s="42" t="s">
        <v>11</v>
      </c>
      <c r="AI8" s="43"/>
      <c r="AJ8" s="43"/>
      <c r="AK8" s="43"/>
      <c r="AL8" s="43"/>
      <c r="AM8" s="43"/>
      <c r="AN8" s="44"/>
      <c r="AO8" s="28"/>
      <c r="AP8" s="28"/>
      <c r="AQ8" s="11"/>
      <c r="AV8" s="48"/>
      <c r="AW8" s="48"/>
      <c r="AX8" s="48"/>
      <c r="AY8" s="48"/>
      <c r="AZ8" s="48"/>
      <c r="BA8" s="48"/>
      <c r="BB8" s="48"/>
      <c r="BC8" s="48"/>
      <c r="BD8" s="48"/>
      <c r="BE8" s="50"/>
      <c r="BF8" s="50"/>
      <c r="BG8" s="50"/>
      <c r="BH8" s="48"/>
      <c r="BI8" s="48"/>
      <c r="BJ8" s="48"/>
      <c r="BK8" s="48"/>
      <c r="BL8" s="48"/>
      <c r="BM8" s="48"/>
      <c r="BN8" s="48"/>
      <c r="BO8" s="61"/>
      <c r="BP8" s="61"/>
      <c r="BQ8" s="61"/>
      <c r="BR8" s="61"/>
    </row>
    <row r="9" spans="1:70" ht="13.5" customHeight="1">
      <c r="C9" s="10"/>
      <c r="D9" s="150"/>
      <c r="E9" s="150"/>
      <c r="F9" s="150"/>
      <c r="G9" s="150"/>
      <c r="H9" s="150"/>
      <c r="I9" s="150"/>
      <c r="J9" s="150"/>
      <c r="K9" s="150"/>
      <c r="L9" s="150"/>
      <c r="M9" s="187"/>
      <c r="N9" s="187"/>
      <c r="O9" s="187"/>
      <c r="P9" s="187"/>
      <c r="Q9" s="187"/>
      <c r="R9" s="187"/>
      <c r="S9" s="187"/>
      <c r="T9" s="188"/>
      <c r="U9" s="188"/>
      <c r="V9" s="188"/>
      <c r="W9" s="188"/>
      <c r="X9" s="188"/>
      <c r="Y9" s="188"/>
      <c r="Z9" s="189"/>
      <c r="AA9" s="189"/>
      <c r="AB9" s="189"/>
      <c r="AC9" s="189"/>
      <c r="AD9" s="189"/>
      <c r="AE9" s="189"/>
      <c r="AF9" s="189"/>
      <c r="AG9" s="189"/>
      <c r="AH9" s="190"/>
      <c r="AI9" s="190"/>
      <c r="AJ9" s="190"/>
      <c r="AK9" s="190"/>
      <c r="AL9" s="190"/>
      <c r="AM9" s="190"/>
      <c r="AN9" s="190"/>
      <c r="AO9" s="28"/>
      <c r="AP9" s="28"/>
      <c r="AQ9" s="11"/>
      <c r="AV9" s="160"/>
      <c r="AW9" s="160"/>
      <c r="AX9" s="160"/>
      <c r="AY9" s="160"/>
      <c r="AZ9" s="160"/>
      <c r="BA9" s="160"/>
      <c r="BB9" s="160"/>
      <c r="BC9" s="160"/>
      <c r="BD9" s="160"/>
      <c r="BE9" s="51"/>
      <c r="BF9" s="51"/>
      <c r="BG9" s="159"/>
      <c r="BH9" s="159"/>
      <c r="BI9" s="159"/>
      <c r="BJ9" s="159"/>
      <c r="BK9" s="159"/>
      <c r="BL9" s="159"/>
      <c r="BM9" s="159"/>
      <c r="BN9" s="159"/>
      <c r="BO9" s="61"/>
      <c r="BP9" s="61"/>
      <c r="BQ9" s="61"/>
      <c r="BR9" s="61"/>
    </row>
    <row r="10" spans="1:70" ht="13.2" customHeight="1">
      <c r="C10" s="10"/>
      <c r="D10" s="150"/>
      <c r="E10" s="150"/>
      <c r="F10" s="150"/>
      <c r="G10" s="150"/>
      <c r="H10" s="150"/>
      <c r="I10" s="150"/>
      <c r="J10" s="150"/>
      <c r="K10" s="150"/>
      <c r="L10" s="150"/>
      <c r="M10" s="183"/>
      <c r="N10" s="183"/>
      <c r="O10" s="183"/>
      <c r="P10" s="183"/>
      <c r="Q10" s="183"/>
      <c r="R10" s="183"/>
      <c r="S10" s="183"/>
      <c r="T10" s="188"/>
      <c r="U10" s="188"/>
      <c r="V10" s="188"/>
      <c r="W10" s="188"/>
      <c r="X10" s="188"/>
      <c r="Y10" s="188"/>
      <c r="Z10" s="184"/>
      <c r="AA10" s="185"/>
      <c r="AB10" s="185"/>
      <c r="AC10" s="185"/>
      <c r="AD10" s="185"/>
      <c r="AE10" s="185"/>
      <c r="AF10" s="185"/>
      <c r="AG10" s="186"/>
      <c r="AH10" s="183"/>
      <c r="AI10" s="183"/>
      <c r="AJ10" s="183"/>
      <c r="AK10" s="183"/>
      <c r="AL10" s="183"/>
      <c r="AM10" s="183"/>
      <c r="AN10" s="183"/>
      <c r="AO10" s="28"/>
      <c r="AP10" s="28"/>
      <c r="AQ10" s="11"/>
      <c r="AV10" s="160"/>
      <c r="AW10" s="160"/>
      <c r="AX10" s="160"/>
      <c r="AY10" s="160"/>
      <c r="AZ10" s="160"/>
      <c r="BA10" s="160"/>
      <c r="BB10" s="160"/>
      <c r="BC10" s="160"/>
      <c r="BD10" s="160"/>
      <c r="BE10" s="51"/>
      <c r="BF10" s="51"/>
      <c r="BG10" s="161"/>
      <c r="BH10" s="161"/>
      <c r="BI10" s="161"/>
      <c r="BJ10" s="161"/>
      <c r="BK10" s="161"/>
      <c r="BL10" s="161"/>
      <c r="BM10" s="161"/>
      <c r="BN10" s="161"/>
      <c r="BO10" s="61"/>
      <c r="BP10" s="61"/>
      <c r="BQ10" s="61"/>
      <c r="BR10" s="61"/>
    </row>
    <row r="11" spans="1:70" ht="13.5" customHeight="1">
      <c r="C11" s="10" t="s">
        <v>3</v>
      </c>
      <c r="D11" s="150"/>
      <c r="E11" s="150"/>
      <c r="F11" s="150"/>
      <c r="G11" s="150"/>
      <c r="H11" s="150"/>
      <c r="I11" s="150"/>
      <c r="J11" s="150"/>
      <c r="K11" s="150"/>
      <c r="L11" s="150"/>
      <c r="M11" s="187"/>
      <c r="N11" s="187"/>
      <c r="O11" s="187"/>
      <c r="P11" s="187"/>
      <c r="Q11" s="187"/>
      <c r="R11" s="187"/>
      <c r="S11" s="187"/>
      <c r="T11" s="188"/>
      <c r="U11" s="188"/>
      <c r="V11" s="188"/>
      <c r="W11" s="188"/>
      <c r="X11" s="188"/>
      <c r="Y11" s="188"/>
      <c r="Z11" s="189"/>
      <c r="AA11" s="189"/>
      <c r="AB11" s="189"/>
      <c r="AC11" s="189"/>
      <c r="AD11" s="189"/>
      <c r="AE11" s="189"/>
      <c r="AF11" s="189"/>
      <c r="AG11" s="189"/>
      <c r="AH11" s="190"/>
      <c r="AI11" s="190"/>
      <c r="AJ11" s="190"/>
      <c r="AK11" s="190"/>
      <c r="AL11" s="190"/>
      <c r="AM11" s="190"/>
      <c r="AN11" s="190"/>
      <c r="AO11" s="28"/>
      <c r="AP11" s="28"/>
      <c r="AQ11" s="11"/>
      <c r="AV11" s="160"/>
      <c r="AW11" s="160"/>
      <c r="AX11" s="160"/>
      <c r="AY11" s="160"/>
      <c r="AZ11" s="160"/>
      <c r="BA11" s="160"/>
      <c r="BB11" s="160"/>
      <c r="BC11" s="160"/>
      <c r="BD11" s="160"/>
      <c r="BE11" s="51"/>
      <c r="BF11" s="51"/>
      <c r="BG11" s="148"/>
      <c r="BH11" s="148"/>
      <c r="BI11" s="148"/>
      <c r="BJ11" s="148"/>
      <c r="BK11" s="148"/>
      <c r="BL11" s="148"/>
      <c r="BM11" s="148"/>
      <c r="BN11" s="148"/>
      <c r="BO11" s="61"/>
      <c r="BP11" s="61"/>
      <c r="BQ11" s="61"/>
      <c r="BR11" s="61"/>
    </row>
    <row r="12" spans="1:70" ht="13.2" customHeight="1">
      <c r="C12" s="10"/>
      <c r="D12" s="150"/>
      <c r="E12" s="150"/>
      <c r="F12" s="150"/>
      <c r="G12" s="150"/>
      <c r="H12" s="150"/>
      <c r="I12" s="150"/>
      <c r="J12" s="150"/>
      <c r="K12" s="150"/>
      <c r="L12" s="150"/>
      <c r="M12" s="183"/>
      <c r="N12" s="183"/>
      <c r="O12" s="183"/>
      <c r="P12" s="183"/>
      <c r="Q12" s="183"/>
      <c r="R12" s="183"/>
      <c r="S12" s="183"/>
      <c r="T12" s="188"/>
      <c r="U12" s="188"/>
      <c r="V12" s="188"/>
      <c r="W12" s="188"/>
      <c r="X12" s="188"/>
      <c r="Y12" s="188"/>
      <c r="Z12" s="184"/>
      <c r="AA12" s="185"/>
      <c r="AB12" s="185"/>
      <c r="AC12" s="185"/>
      <c r="AD12" s="185"/>
      <c r="AE12" s="185"/>
      <c r="AF12" s="185"/>
      <c r="AG12" s="186"/>
      <c r="AH12" s="183"/>
      <c r="AI12" s="183"/>
      <c r="AJ12" s="183"/>
      <c r="AK12" s="183"/>
      <c r="AL12" s="183"/>
      <c r="AM12" s="183"/>
      <c r="AN12" s="183"/>
      <c r="AO12" s="28"/>
      <c r="AP12" s="28"/>
      <c r="AQ12" s="11"/>
      <c r="AV12" s="148"/>
      <c r="AW12" s="148"/>
      <c r="AX12" s="148"/>
      <c r="AY12" s="148"/>
      <c r="AZ12" s="148"/>
      <c r="BA12" s="148"/>
      <c r="BB12" s="148"/>
      <c r="BC12" s="148"/>
      <c r="BD12" s="148"/>
      <c r="BE12" s="52"/>
      <c r="BF12" s="53"/>
      <c r="BG12" s="159"/>
      <c r="BH12" s="159"/>
      <c r="BI12" s="159"/>
      <c r="BJ12" s="159"/>
      <c r="BK12" s="159"/>
      <c r="BL12" s="159"/>
      <c r="BM12" s="159"/>
      <c r="BN12" s="159"/>
      <c r="BO12" s="61"/>
      <c r="BP12" s="61"/>
      <c r="BQ12" s="61"/>
      <c r="BR12" s="61"/>
    </row>
    <row r="13" spans="1:70" ht="13.2" customHeight="1">
      <c r="A13" s="14"/>
      <c r="B13" s="14"/>
      <c r="C13" s="15"/>
      <c r="D13" s="150"/>
      <c r="E13" s="150"/>
      <c r="F13" s="150"/>
      <c r="G13" s="150"/>
      <c r="H13" s="150"/>
      <c r="I13" s="150"/>
      <c r="J13" s="150"/>
      <c r="K13" s="150"/>
      <c r="L13" s="150"/>
      <c r="M13" s="187"/>
      <c r="N13" s="187"/>
      <c r="O13" s="187"/>
      <c r="P13" s="187"/>
      <c r="Q13" s="187"/>
      <c r="R13" s="187"/>
      <c r="S13" s="187"/>
      <c r="T13" s="188"/>
      <c r="U13" s="188"/>
      <c r="V13" s="188"/>
      <c r="W13" s="188"/>
      <c r="X13" s="188"/>
      <c r="Y13" s="188"/>
      <c r="Z13" s="189"/>
      <c r="AA13" s="189"/>
      <c r="AB13" s="189"/>
      <c r="AC13" s="189"/>
      <c r="AD13" s="189"/>
      <c r="AE13" s="189"/>
      <c r="AF13" s="189"/>
      <c r="AG13" s="189"/>
      <c r="AH13" s="190"/>
      <c r="AI13" s="190"/>
      <c r="AJ13" s="190"/>
      <c r="AK13" s="190"/>
      <c r="AL13" s="190"/>
      <c r="AM13" s="190"/>
      <c r="AN13" s="190"/>
      <c r="AO13" s="28"/>
      <c r="AP13" s="28"/>
      <c r="AQ13" s="11"/>
      <c r="AV13" s="148"/>
      <c r="AW13" s="148"/>
      <c r="AX13" s="148"/>
      <c r="AY13" s="148"/>
      <c r="AZ13" s="148"/>
      <c r="BA13" s="148"/>
      <c r="BB13" s="148"/>
      <c r="BC13" s="148"/>
      <c r="BD13" s="148"/>
      <c r="BE13" s="52"/>
      <c r="BF13" s="53"/>
      <c r="BG13" s="161"/>
      <c r="BH13" s="161"/>
      <c r="BI13" s="161"/>
      <c r="BJ13" s="161"/>
      <c r="BK13" s="161"/>
      <c r="BL13" s="161"/>
      <c r="BM13" s="161"/>
      <c r="BN13" s="161"/>
      <c r="BO13" s="49"/>
      <c r="BP13" s="49"/>
      <c r="BQ13" s="49"/>
      <c r="BR13" s="49"/>
    </row>
    <row r="14" spans="1:70" ht="13.2" customHeight="1">
      <c r="C14" s="16"/>
      <c r="D14" s="150"/>
      <c r="E14" s="150"/>
      <c r="F14" s="150"/>
      <c r="G14" s="150"/>
      <c r="H14" s="150"/>
      <c r="I14" s="150"/>
      <c r="J14" s="150"/>
      <c r="K14" s="150"/>
      <c r="L14" s="150"/>
      <c r="M14" s="183"/>
      <c r="N14" s="183"/>
      <c r="O14" s="183"/>
      <c r="P14" s="183"/>
      <c r="Q14" s="183"/>
      <c r="R14" s="183"/>
      <c r="S14" s="183"/>
      <c r="T14" s="188"/>
      <c r="U14" s="188"/>
      <c r="V14" s="188"/>
      <c r="W14" s="188"/>
      <c r="X14" s="188"/>
      <c r="Y14" s="188"/>
      <c r="Z14" s="184"/>
      <c r="AA14" s="185"/>
      <c r="AB14" s="185"/>
      <c r="AC14" s="185"/>
      <c r="AD14" s="185"/>
      <c r="AE14" s="185"/>
      <c r="AF14" s="185"/>
      <c r="AG14" s="186"/>
      <c r="AH14" s="183"/>
      <c r="AI14" s="183"/>
      <c r="AJ14" s="183"/>
      <c r="AK14" s="183"/>
      <c r="AL14" s="183"/>
      <c r="AM14" s="183"/>
      <c r="AN14" s="183"/>
      <c r="AO14" s="28"/>
      <c r="AP14" s="28"/>
      <c r="AQ14" s="11"/>
      <c r="AV14" s="148"/>
      <c r="AW14" s="148"/>
      <c r="AX14" s="148"/>
      <c r="AY14" s="148"/>
      <c r="AZ14" s="148"/>
      <c r="BA14" s="148"/>
      <c r="BB14" s="148"/>
      <c r="BC14" s="148"/>
      <c r="BD14" s="148"/>
      <c r="BE14" s="52"/>
      <c r="BF14" s="53"/>
      <c r="BG14" s="161"/>
      <c r="BH14" s="161"/>
      <c r="BI14" s="161"/>
      <c r="BJ14" s="161"/>
      <c r="BK14" s="161"/>
      <c r="BL14" s="161"/>
      <c r="BM14" s="161"/>
      <c r="BN14" s="161"/>
      <c r="BO14" s="29"/>
      <c r="BP14" s="29"/>
      <c r="BQ14" s="29"/>
      <c r="BR14" s="29"/>
    </row>
    <row r="15" spans="1:70" ht="13.5" customHeight="1">
      <c r="C15" s="17"/>
      <c r="D15" s="150"/>
      <c r="E15" s="150"/>
      <c r="F15" s="150"/>
      <c r="G15" s="150"/>
      <c r="H15" s="150"/>
      <c r="I15" s="150"/>
      <c r="J15" s="150"/>
      <c r="K15" s="150"/>
      <c r="L15" s="150"/>
      <c r="M15" s="187"/>
      <c r="N15" s="187"/>
      <c r="O15" s="187"/>
      <c r="P15" s="187"/>
      <c r="Q15" s="187"/>
      <c r="R15" s="187"/>
      <c r="S15" s="187"/>
      <c r="T15" s="150"/>
      <c r="U15" s="150"/>
      <c r="V15" s="150"/>
      <c r="W15" s="150"/>
      <c r="X15" s="150"/>
      <c r="Y15" s="150"/>
      <c r="Z15" s="189"/>
      <c r="AA15" s="189"/>
      <c r="AB15" s="189"/>
      <c r="AC15" s="189"/>
      <c r="AD15" s="189"/>
      <c r="AE15" s="189"/>
      <c r="AF15" s="189"/>
      <c r="AG15" s="189"/>
      <c r="AH15" s="190"/>
      <c r="AI15" s="190"/>
      <c r="AJ15" s="190"/>
      <c r="AK15" s="190"/>
      <c r="AL15" s="190"/>
      <c r="AM15" s="190"/>
      <c r="AN15" s="190"/>
      <c r="AO15" s="28"/>
      <c r="AP15" s="28"/>
      <c r="AQ15" s="11"/>
      <c r="AV15" s="148"/>
      <c r="AW15" s="148"/>
      <c r="AX15" s="148"/>
      <c r="AY15" s="148"/>
      <c r="AZ15" s="148"/>
      <c r="BA15" s="148"/>
      <c r="BB15" s="148"/>
      <c r="BC15" s="148"/>
      <c r="BD15" s="148"/>
      <c r="BE15" s="52"/>
      <c r="BF15" s="54"/>
      <c r="BG15" s="161"/>
      <c r="BH15" s="161"/>
      <c r="BI15" s="161"/>
      <c r="BJ15" s="161"/>
      <c r="BK15" s="161"/>
      <c r="BL15" s="161"/>
      <c r="BM15" s="161"/>
      <c r="BN15" s="161"/>
    </row>
    <row r="16" spans="1:70" ht="13.2" customHeight="1">
      <c r="C16" s="10"/>
      <c r="D16" s="150"/>
      <c r="E16" s="150"/>
      <c r="F16" s="150"/>
      <c r="G16" s="150"/>
      <c r="H16" s="150"/>
      <c r="I16" s="150"/>
      <c r="J16" s="150"/>
      <c r="K16" s="150"/>
      <c r="L16" s="150"/>
      <c r="M16" s="183"/>
      <c r="N16" s="183"/>
      <c r="O16" s="183"/>
      <c r="P16" s="183"/>
      <c r="Q16" s="183"/>
      <c r="R16" s="183"/>
      <c r="S16" s="183"/>
      <c r="T16" s="150"/>
      <c r="U16" s="150"/>
      <c r="V16" s="150"/>
      <c r="W16" s="150"/>
      <c r="X16" s="150"/>
      <c r="Y16" s="150"/>
      <c r="Z16" s="184"/>
      <c r="AA16" s="185"/>
      <c r="AB16" s="185"/>
      <c r="AC16" s="185"/>
      <c r="AD16" s="185"/>
      <c r="AE16" s="185"/>
      <c r="AF16" s="185"/>
      <c r="AG16" s="186"/>
      <c r="AH16" s="183"/>
      <c r="AI16" s="183"/>
      <c r="AJ16" s="183"/>
      <c r="AK16" s="183"/>
      <c r="AL16" s="183"/>
      <c r="AM16" s="183"/>
      <c r="AN16" s="183"/>
      <c r="AO16" s="28"/>
      <c r="AP16" s="28"/>
      <c r="AQ16" s="11"/>
      <c r="AV16" s="148"/>
      <c r="AW16" s="148"/>
      <c r="AX16" s="148"/>
      <c r="AY16" s="148"/>
      <c r="AZ16" s="148"/>
      <c r="BA16" s="148"/>
      <c r="BB16" s="148"/>
      <c r="BC16" s="148"/>
      <c r="BD16" s="148"/>
      <c r="BE16" s="52"/>
      <c r="BF16" s="53"/>
      <c r="BG16" s="159"/>
      <c r="BH16" s="159"/>
      <c r="BI16" s="159"/>
      <c r="BJ16" s="159"/>
      <c r="BK16" s="159"/>
      <c r="BL16" s="159"/>
      <c r="BM16" s="159"/>
      <c r="BN16" s="159"/>
    </row>
    <row r="17" spans="1:66" ht="13.2" customHeight="1">
      <c r="C17" s="10"/>
      <c r="D17" s="150"/>
      <c r="E17" s="150"/>
      <c r="F17" s="150"/>
      <c r="G17" s="150"/>
      <c r="H17" s="150"/>
      <c r="I17" s="150"/>
      <c r="J17" s="150"/>
      <c r="K17" s="150"/>
      <c r="L17" s="150"/>
      <c r="M17" s="187"/>
      <c r="N17" s="187"/>
      <c r="O17" s="187"/>
      <c r="P17" s="187"/>
      <c r="Q17" s="187"/>
      <c r="R17" s="187"/>
      <c r="S17" s="187"/>
      <c r="T17" s="150"/>
      <c r="U17" s="150"/>
      <c r="V17" s="150"/>
      <c r="W17" s="150"/>
      <c r="X17" s="150"/>
      <c r="Y17" s="150"/>
      <c r="Z17" s="189"/>
      <c r="AA17" s="189"/>
      <c r="AB17" s="189"/>
      <c r="AC17" s="189"/>
      <c r="AD17" s="189"/>
      <c r="AE17" s="189"/>
      <c r="AF17" s="189"/>
      <c r="AG17" s="189"/>
      <c r="AH17" s="190"/>
      <c r="AI17" s="190"/>
      <c r="AJ17" s="190"/>
      <c r="AK17" s="190"/>
      <c r="AL17" s="190"/>
      <c r="AM17" s="190"/>
      <c r="AN17" s="190"/>
      <c r="AO17" s="28"/>
      <c r="AP17" s="28"/>
      <c r="AQ17" s="11"/>
      <c r="AV17" s="158"/>
      <c r="AW17" s="158"/>
      <c r="AX17" s="158"/>
      <c r="AY17" s="158"/>
      <c r="AZ17" s="158"/>
      <c r="BA17" s="158"/>
      <c r="BB17" s="158"/>
      <c r="BC17" s="158"/>
      <c r="BD17" s="158"/>
      <c r="BE17" s="55"/>
      <c r="BF17" s="54"/>
      <c r="BG17" s="148"/>
      <c r="BH17" s="148"/>
      <c r="BI17" s="148"/>
      <c r="BJ17" s="148"/>
      <c r="BK17" s="148"/>
      <c r="BL17" s="148"/>
      <c r="BM17" s="148"/>
      <c r="BN17" s="148"/>
    </row>
    <row r="18" spans="1:66" ht="13.5" customHeight="1">
      <c r="C18" s="17"/>
      <c r="D18" s="150"/>
      <c r="E18" s="150"/>
      <c r="F18" s="150"/>
      <c r="G18" s="150"/>
      <c r="H18" s="150"/>
      <c r="I18" s="150"/>
      <c r="J18" s="150"/>
      <c r="K18" s="150"/>
      <c r="L18" s="150"/>
      <c r="M18" s="183"/>
      <c r="N18" s="183"/>
      <c r="O18" s="183"/>
      <c r="P18" s="183"/>
      <c r="Q18" s="183"/>
      <c r="R18" s="183"/>
      <c r="S18" s="183"/>
      <c r="T18" s="150"/>
      <c r="U18" s="150"/>
      <c r="V18" s="150"/>
      <c r="W18" s="150"/>
      <c r="X18" s="150"/>
      <c r="Y18" s="150"/>
      <c r="Z18" s="184"/>
      <c r="AA18" s="185"/>
      <c r="AB18" s="185"/>
      <c r="AC18" s="185"/>
      <c r="AD18" s="185"/>
      <c r="AE18" s="185"/>
      <c r="AF18" s="185"/>
      <c r="AG18" s="186"/>
      <c r="AH18" s="183"/>
      <c r="AI18" s="183"/>
      <c r="AJ18" s="183"/>
      <c r="AK18" s="183"/>
      <c r="AL18" s="183"/>
      <c r="AM18" s="183"/>
      <c r="AN18" s="183"/>
      <c r="AO18" s="28"/>
      <c r="AP18" s="28"/>
      <c r="AQ18" s="11"/>
      <c r="AV18" s="158"/>
      <c r="AW18" s="158"/>
      <c r="AX18" s="158"/>
      <c r="AY18" s="158"/>
      <c r="AZ18" s="158"/>
      <c r="BA18" s="158"/>
      <c r="BB18" s="158"/>
      <c r="BC18" s="158"/>
      <c r="BD18" s="158"/>
      <c r="BE18" s="56"/>
      <c r="BF18" s="54"/>
      <c r="BG18" s="148"/>
      <c r="BH18" s="148"/>
      <c r="BI18" s="148"/>
      <c r="BJ18" s="148"/>
      <c r="BK18" s="148"/>
      <c r="BL18" s="148"/>
      <c r="BM18" s="148"/>
      <c r="BN18" s="148"/>
    </row>
    <row r="19" spans="1:66" ht="13.5" customHeight="1">
      <c r="C19" s="10"/>
      <c r="D19" s="150"/>
      <c r="E19" s="150"/>
      <c r="F19" s="150"/>
      <c r="G19" s="150"/>
      <c r="H19" s="150"/>
      <c r="I19" s="150"/>
      <c r="J19" s="150"/>
      <c r="K19" s="150"/>
      <c r="L19" s="150"/>
      <c r="M19" s="187"/>
      <c r="N19" s="187"/>
      <c r="O19" s="187"/>
      <c r="P19" s="187"/>
      <c r="Q19" s="187"/>
      <c r="R19" s="187"/>
      <c r="S19" s="187"/>
      <c r="T19" s="150"/>
      <c r="U19" s="150"/>
      <c r="V19" s="150"/>
      <c r="W19" s="150"/>
      <c r="X19" s="150"/>
      <c r="Y19" s="150"/>
      <c r="Z19" s="189"/>
      <c r="AA19" s="189"/>
      <c r="AB19" s="189"/>
      <c r="AC19" s="189"/>
      <c r="AD19" s="189"/>
      <c r="AE19" s="189"/>
      <c r="AF19" s="189"/>
      <c r="AG19" s="189"/>
      <c r="AH19" s="190"/>
      <c r="AI19" s="190"/>
      <c r="AJ19" s="190"/>
      <c r="AK19" s="190"/>
      <c r="AL19" s="190"/>
      <c r="AM19" s="190"/>
      <c r="AN19" s="190"/>
      <c r="AO19" s="28"/>
      <c r="AP19" s="28"/>
      <c r="AQ19" s="11"/>
      <c r="AV19" s="158"/>
      <c r="AW19" s="158"/>
      <c r="AX19" s="158"/>
      <c r="AY19" s="158"/>
      <c r="AZ19" s="158"/>
      <c r="BA19" s="158"/>
      <c r="BB19" s="158"/>
      <c r="BC19" s="158"/>
      <c r="BD19" s="158"/>
      <c r="BE19" s="56"/>
      <c r="BF19" s="54"/>
      <c r="BG19" s="148"/>
      <c r="BH19" s="148"/>
      <c r="BI19" s="148"/>
      <c r="BJ19" s="148"/>
      <c r="BK19" s="148"/>
      <c r="BL19" s="148"/>
      <c r="BM19" s="148"/>
      <c r="BN19" s="148"/>
    </row>
    <row r="20" spans="1:66" ht="13.5" customHeight="1">
      <c r="C20" s="10"/>
      <c r="D20" s="150"/>
      <c r="E20" s="150"/>
      <c r="F20" s="150"/>
      <c r="G20" s="150"/>
      <c r="H20" s="150"/>
      <c r="I20" s="150"/>
      <c r="J20" s="150"/>
      <c r="K20" s="150"/>
      <c r="L20" s="150"/>
      <c r="M20" s="183"/>
      <c r="N20" s="183"/>
      <c r="O20" s="183"/>
      <c r="P20" s="183"/>
      <c r="Q20" s="183"/>
      <c r="R20" s="183"/>
      <c r="S20" s="183"/>
      <c r="T20" s="150"/>
      <c r="U20" s="150"/>
      <c r="V20" s="150"/>
      <c r="W20" s="150"/>
      <c r="X20" s="150"/>
      <c r="Y20" s="150"/>
      <c r="Z20" s="184"/>
      <c r="AA20" s="185"/>
      <c r="AB20" s="185"/>
      <c r="AC20" s="185"/>
      <c r="AD20" s="185"/>
      <c r="AE20" s="185"/>
      <c r="AF20" s="185"/>
      <c r="AG20" s="186"/>
      <c r="AH20" s="183"/>
      <c r="AI20" s="183"/>
      <c r="AJ20" s="183"/>
      <c r="AK20" s="183"/>
      <c r="AL20" s="183"/>
      <c r="AM20" s="183"/>
      <c r="AN20" s="183"/>
      <c r="AO20" s="28"/>
      <c r="AP20" s="28"/>
      <c r="AQ20" s="11"/>
      <c r="AV20" s="158"/>
      <c r="AW20" s="158"/>
      <c r="AX20" s="158"/>
      <c r="AY20" s="158"/>
      <c r="AZ20" s="158"/>
      <c r="BA20" s="158"/>
      <c r="BB20" s="158"/>
      <c r="BC20" s="158"/>
      <c r="BD20" s="158"/>
      <c r="BE20" s="56"/>
      <c r="BF20" s="54"/>
      <c r="BG20" s="148"/>
      <c r="BH20" s="148"/>
      <c r="BI20" s="148"/>
      <c r="BJ20" s="148"/>
      <c r="BK20" s="148"/>
      <c r="BL20" s="148"/>
      <c r="BM20" s="148"/>
      <c r="BN20" s="148"/>
    </row>
    <row r="21" spans="1:66" ht="13.5" customHeight="1">
      <c r="C21" s="10"/>
      <c r="D21" s="150"/>
      <c r="E21" s="150"/>
      <c r="F21" s="150"/>
      <c r="G21" s="150"/>
      <c r="H21" s="150"/>
      <c r="I21" s="150"/>
      <c r="J21" s="150"/>
      <c r="K21" s="150"/>
      <c r="L21" s="150"/>
      <c r="M21" s="187"/>
      <c r="N21" s="187"/>
      <c r="O21" s="187"/>
      <c r="P21" s="187"/>
      <c r="Q21" s="187"/>
      <c r="R21" s="187"/>
      <c r="S21" s="187"/>
      <c r="T21" s="150"/>
      <c r="U21" s="150"/>
      <c r="V21" s="150"/>
      <c r="W21" s="150"/>
      <c r="X21" s="150"/>
      <c r="Y21" s="150"/>
      <c r="Z21" s="189"/>
      <c r="AA21" s="189"/>
      <c r="AB21" s="189"/>
      <c r="AC21" s="189"/>
      <c r="AD21" s="189"/>
      <c r="AE21" s="189"/>
      <c r="AF21" s="189"/>
      <c r="AG21" s="189"/>
      <c r="AH21" s="190"/>
      <c r="AI21" s="190"/>
      <c r="AJ21" s="190"/>
      <c r="AK21" s="190"/>
      <c r="AL21" s="190"/>
      <c r="AM21" s="190"/>
      <c r="AN21" s="190"/>
      <c r="AO21" s="28"/>
      <c r="AP21" s="28"/>
      <c r="AQ21" s="11"/>
      <c r="AV21" s="158"/>
      <c r="AW21" s="158"/>
      <c r="AX21" s="158"/>
      <c r="AY21" s="158"/>
      <c r="AZ21" s="158"/>
      <c r="BA21" s="158"/>
      <c r="BB21" s="158"/>
      <c r="BC21" s="158"/>
      <c r="BD21" s="158"/>
      <c r="BE21" s="56"/>
      <c r="BF21" s="54"/>
      <c r="BG21" s="148"/>
      <c r="BH21" s="148"/>
      <c r="BI21" s="148"/>
      <c r="BJ21" s="148"/>
      <c r="BK21" s="148"/>
      <c r="BL21" s="148"/>
      <c r="BM21" s="148"/>
      <c r="BN21" s="148"/>
    </row>
    <row r="22" spans="1:66" ht="13.2" customHeight="1">
      <c r="C22" s="10"/>
      <c r="D22" s="150"/>
      <c r="E22" s="150"/>
      <c r="F22" s="150"/>
      <c r="G22" s="150"/>
      <c r="H22" s="150"/>
      <c r="I22" s="150"/>
      <c r="J22" s="150"/>
      <c r="K22" s="150"/>
      <c r="L22" s="150"/>
      <c r="M22" s="183"/>
      <c r="N22" s="183"/>
      <c r="O22" s="183"/>
      <c r="P22" s="183"/>
      <c r="Q22" s="183"/>
      <c r="R22" s="183"/>
      <c r="S22" s="183"/>
      <c r="T22" s="150"/>
      <c r="U22" s="150"/>
      <c r="V22" s="150"/>
      <c r="W22" s="150"/>
      <c r="X22" s="150"/>
      <c r="Y22" s="150"/>
      <c r="Z22" s="184"/>
      <c r="AA22" s="185"/>
      <c r="AB22" s="185"/>
      <c r="AC22" s="185"/>
      <c r="AD22" s="185"/>
      <c r="AE22" s="185"/>
      <c r="AF22" s="185"/>
      <c r="AG22" s="186"/>
      <c r="AH22" s="183"/>
      <c r="AI22" s="183"/>
      <c r="AJ22" s="183"/>
      <c r="AK22" s="183"/>
      <c r="AL22" s="183"/>
      <c r="AM22" s="183"/>
      <c r="AN22" s="183"/>
      <c r="AO22" s="28"/>
      <c r="AP22" s="28"/>
      <c r="AQ22" s="11"/>
      <c r="AV22" s="158"/>
      <c r="AW22" s="158"/>
      <c r="AX22" s="158"/>
      <c r="AY22" s="158"/>
      <c r="AZ22" s="158"/>
      <c r="BA22" s="158"/>
      <c r="BB22" s="158"/>
      <c r="BC22" s="158"/>
      <c r="BD22" s="158"/>
      <c r="BE22" s="55"/>
      <c r="BF22" s="54"/>
      <c r="BG22" s="148"/>
      <c r="BH22" s="148"/>
      <c r="BI22" s="148"/>
      <c r="BJ22" s="148"/>
      <c r="BK22" s="148"/>
      <c r="BL22" s="148"/>
      <c r="BM22" s="148"/>
      <c r="BN22" s="148"/>
    </row>
    <row r="23" spans="1:66" ht="13.5" customHeight="1">
      <c r="C23" s="10"/>
      <c r="D23" s="150"/>
      <c r="E23" s="150"/>
      <c r="F23" s="150"/>
      <c r="G23" s="150"/>
      <c r="H23" s="150"/>
      <c r="I23" s="150"/>
      <c r="J23" s="150"/>
      <c r="K23" s="150"/>
      <c r="L23" s="150"/>
      <c r="M23" s="187"/>
      <c r="N23" s="187"/>
      <c r="O23" s="187"/>
      <c r="P23" s="187"/>
      <c r="Q23" s="187"/>
      <c r="R23" s="187"/>
      <c r="S23" s="187"/>
      <c r="T23" s="150"/>
      <c r="U23" s="150"/>
      <c r="V23" s="150"/>
      <c r="W23" s="150"/>
      <c r="X23" s="150"/>
      <c r="Y23" s="150"/>
      <c r="Z23" s="189"/>
      <c r="AA23" s="189"/>
      <c r="AB23" s="189"/>
      <c r="AC23" s="189"/>
      <c r="AD23" s="189"/>
      <c r="AE23" s="189"/>
      <c r="AF23" s="189"/>
      <c r="AG23" s="189"/>
      <c r="AH23" s="190"/>
      <c r="AI23" s="190"/>
      <c r="AJ23" s="190"/>
      <c r="AK23" s="190"/>
      <c r="AL23" s="190"/>
      <c r="AM23" s="190"/>
      <c r="AN23" s="190"/>
      <c r="AO23" s="28"/>
      <c r="AP23" s="28"/>
      <c r="AQ23" s="11"/>
      <c r="AV23" s="149"/>
      <c r="AW23" s="149"/>
      <c r="AX23" s="149"/>
      <c r="AY23" s="149"/>
      <c r="AZ23" s="149"/>
      <c r="BA23" s="149"/>
      <c r="BB23" s="149"/>
      <c r="BC23" s="149"/>
      <c r="BD23" s="149"/>
      <c r="BE23" s="56"/>
      <c r="BF23" s="54"/>
      <c r="BG23" s="148"/>
      <c r="BH23" s="148"/>
      <c r="BI23" s="148"/>
      <c r="BJ23" s="148"/>
      <c r="BK23" s="148"/>
      <c r="BL23" s="148"/>
      <c r="BM23" s="148"/>
      <c r="BN23" s="148"/>
    </row>
    <row r="24" spans="1:66" ht="13.5" customHeight="1">
      <c r="A24" s="14"/>
      <c r="B24" s="14"/>
      <c r="C24" s="16"/>
      <c r="D24" s="150"/>
      <c r="E24" s="150"/>
      <c r="F24" s="150"/>
      <c r="G24" s="150"/>
      <c r="H24" s="150"/>
      <c r="I24" s="150"/>
      <c r="J24" s="150"/>
      <c r="K24" s="150"/>
      <c r="L24" s="150"/>
      <c r="M24" s="183"/>
      <c r="N24" s="183"/>
      <c r="O24" s="183"/>
      <c r="P24" s="183"/>
      <c r="Q24" s="183"/>
      <c r="R24" s="183"/>
      <c r="S24" s="183"/>
      <c r="T24" s="150"/>
      <c r="U24" s="150"/>
      <c r="V24" s="150"/>
      <c r="W24" s="150"/>
      <c r="X24" s="150"/>
      <c r="Y24" s="150"/>
      <c r="Z24" s="184"/>
      <c r="AA24" s="185"/>
      <c r="AB24" s="185"/>
      <c r="AC24" s="185"/>
      <c r="AD24" s="185"/>
      <c r="AE24" s="185"/>
      <c r="AF24" s="185"/>
      <c r="AG24" s="186"/>
      <c r="AH24" s="183"/>
      <c r="AI24" s="183"/>
      <c r="AJ24" s="183"/>
      <c r="AK24" s="183"/>
      <c r="AL24" s="183"/>
      <c r="AM24" s="183"/>
      <c r="AN24" s="183"/>
      <c r="AO24" s="28"/>
      <c r="AP24" s="28"/>
      <c r="AQ24" s="11"/>
      <c r="AV24" s="149"/>
      <c r="AW24" s="149"/>
      <c r="AX24" s="149"/>
      <c r="AY24" s="149"/>
      <c r="AZ24" s="149"/>
      <c r="BA24" s="149"/>
      <c r="BB24" s="149"/>
      <c r="BC24" s="149"/>
      <c r="BD24" s="149"/>
      <c r="BE24" s="55"/>
      <c r="BF24" s="54"/>
      <c r="BG24" s="148"/>
      <c r="BH24" s="148"/>
      <c r="BI24" s="148"/>
      <c r="BJ24" s="148"/>
      <c r="BK24" s="148"/>
      <c r="BL24" s="148"/>
      <c r="BM24" s="148"/>
      <c r="BN24" s="148"/>
    </row>
    <row r="25" spans="1:66" ht="13.5" customHeight="1">
      <c r="C25" s="10"/>
      <c r="D25" s="150"/>
      <c r="E25" s="150"/>
      <c r="F25" s="150"/>
      <c r="G25" s="150"/>
      <c r="H25" s="150"/>
      <c r="I25" s="150"/>
      <c r="J25" s="150"/>
      <c r="K25" s="150"/>
      <c r="L25" s="150"/>
      <c r="M25" s="187"/>
      <c r="N25" s="187"/>
      <c r="O25" s="187"/>
      <c r="P25" s="187"/>
      <c r="Q25" s="187"/>
      <c r="R25" s="187"/>
      <c r="S25" s="187"/>
      <c r="T25" s="150"/>
      <c r="U25" s="150"/>
      <c r="V25" s="150"/>
      <c r="W25" s="150"/>
      <c r="X25" s="150"/>
      <c r="Y25" s="150"/>
      <c r="Z25" s="189"/>
      <c r="AA25" s="189"/>
      <c r="AB25" s="189"/>
      <c r="AC25" s="189"/>
      <c r="AD25" s="189"/>
      <c r="AE25" s="189"/>
      <c r="AF25" s="189"/>
      <c r="AG25" s="189"/>
      <c r="AH25" s="190"/>
      <c r="AI25" s="190"/>
      <c r="AJ25" s="190"/>
      <c r="AK25" s="190"/>
      <c r="AL25" s="190"/>
      <c r="AM25" s="190"/>
      <c r="AN25" s="190"/>
      <c r="AO25" s="28"/>
      <c r="AP25" s="28"/>
      <c r="AQ25" s="11"/>
      <c r="AV25" s="149"/>
      <c r="AW25" s="149"/>
      <c r="AX25" s="149"/>
      <c r="AY25" s="149"/>
      <c r="AZ25" s="149"/>
      <c r="BA25" s="149"/>
      <c r="BB25" s="149"/>
      <c r="BC25" s="149"/>
      <c r="BD25" s="149"/>
      <c r="BE25" s="55"/>
      <c r="BF25" s="54"/>
      <c r="BG25" s="148"/>
      <c r="BH25" s="148"/>
      <c r="BI25" s="148"/>
      <c r="BJ25" s="148"/>
      <c r="BK25" s="148"/>
      <c r="BL25" s="148"/>
      <c r="BM25" s="148"/>
      <c r="BN25" s="148"/>
    </row>
    <row r="26" spans="1:66" ht="13.5" customHeight="1">
      <c r="C26" s="10"/>
      <c r="D26" s="150"/>
      <c r="E26" s="150"/>
      <c r="F26" s="150"/>
      <c r="G26" s="150"/>
      <c r="H26" s="150"/>
      <c r="I26" s="150"/>
      <c r="J26" s="150"/>
      <c r="K26" s="150"/>
      <c r="L26" s="150"/>
      <c r="M26" s="183"/>
      <c r="N26" s="183"/>
      <c r="O26" s="183"/>
      <c r="P26" s="183"/>
      <c r="Q26" s="183"/>
      <c r="R26" s="183"/>
      <c r="S26" s="183"/>
      <c r="T26" s="150"/>
      <c r="U26" s="150"/>
      <c r="V26" s="150"/>
      <c r="W26" s="150"/>
      <c r="X26" s="150"/>
      <c r="Y26" s="150"/>
      <c r="Z26" s="184"/>
      <c r="AA26" s="185"/>
      <c r="AB26" s="185"/>
      <c r="AC26" s="185"/>
      <c r="AD26" s="185"/>
      <c r="AE26" s="185"/>
      <c r="AF26" s="185"/>
      <c r="AG26" s="186"/>
      <c r="AH26" s="183"/>
      <c r="AI26" s="183"/>
      <c r="AJ26" s="183"/>
      <c r="AK26" s="183"/>
      <c r="AL26" s="183"/>
      <c r="AM26" s="183"/>
      <c r="AN26" s="183"/>
      <c r="AO26" s="28"/>
      <c r="AP26" s="28"/>
      <c r="AQ26" s="11"/>
      <c r="AV26" s="149"/>
      <c r="AW26" s="149"/>
      <c r="AX26" s="149"/>
      <c r="AY26" s="149"/>
      <c r="AZ26" s="149"/>
      <c r="BA26" s="149"/>
      <c r="BB26" s="149"/>
      <c r="BC26" s="149"/>
      <c r="BD26" s="149"/>
      <c r="BE26" s="56"/>
      <c r="BF26" s="54"/>
      <c r="BG26" s="148"/>
      <c r="BH26" s="148"/>
      <c r="BI26" s="148"/>
      <c r="BJ26" s="148"/>
      <c r="BK26" s="148"/>
      <c r="BL26" s="148"/>
      <c r="BM26" s="148"/>
      <c r="BN26" s="148"/>
    </row>
    <row r="27" spans="1:66" ht="13.5" customHeight="1">
      <c r="A27" s="18"/>
      <c r="C27" s="17"/>
      <c r="D27" s="150"/>
      <c r="E27" s="150"/>
      <c r="F27" s="150"/>
      <c r="G27" s="150"/>
      <c r="H27" s="150"/>
      <c r="I27" s="150"/>
      <c r="J27" s="150"/>
      <c r="K27" s="150"/>
      <c r="L27" s="150"/>
      <c r="M27" s="187"/>
      <c r="N27" s="187"/>
      <c r="O27" s="187"/>
      <c r="P27" s="187"/>
      <c r="Q27" s="187"/>
      <c r="R27" s="187"/>
      <c r="S27" s="187"/>
      <c r="T27" s="150"/>
      <c r="U27" s="150"/>
      <c r="V27" s="150"/>
      <c r="W27" s="150"/>
      <c r="X27" s="150"/>
      <c r="Y27" s="150"/>
      <c r="Z27" s="189"/>
      <c r="AA27" s="189"/>
      <c r="AB27" s="189"/>
      <c r="AC27" s="189"/>
      <c r="AD27" s="189"/>
      <c r="AE27" s="189"/>
      <c r="AF27" s="189"/>
      <c r="AG27" s="189"/>
      <c r="AH27" s="190"/>
      <c r="AI27" s="190"/>
      <c r="AJ27" s="190"/>
      <c r="AK27" s="190"/>
      <c r="AL27" s="190"/>
      <c r="AM27" s="190"/>
      <c r="AN27" s="190"/>
      <c r="AO27" s="14"/>
      <c r="AQ27" s="11"/>
      <c r="AV27" s="149"/>
      <c r="AW27" s="149"/>
      <c r="AX27" s="149"/>
      <c r="AY27" s="149"/>
      <c r="AZ27" s="149"/>
      <c r="BA27" s="149"/>
      <c r="BB27" s="149"/>
      <c r="BC27" s="149"/>
      <c r="BD27" s="149"/>
      <c r="BE27" s="55"/>
      <c r="BF27" s="54"/>
      <c r="BG27" s="148"/>
      <c r="BH27" s="148"/>
      <c r="BI27" s="148"/>
      <c r="BJ27" s="148"/>
      <c r="BK27" s="148"/>
      <c r="BL27" s="148"/>
      <c r="BM27" s="148"/>
      <c r="BN27" s="148"/>
    </row>
    <row r="28" spans="1:66" ht="13.2" customHeight="1">
      <c r="C28" s="10"/>
      <c r="D28" s="150"/>
      <c r="E28" s="150"/>
      <c r="F28" s="150"/>
      <c r="G28" s="150"/>
      <c r="H28" s="150"/>
      <c r="I28" s="150"/>
      <c r="J28" s="150"/>
      <c r="K28" s="150"/>
      <c r="L28" s="150"/>
      <c r="M28" s="183"/>
      <c r="N28" s="183"/>
      <c r="O28" s="183"/>
      <c r="P28" s="183"/>
      <c r="Q28" s="183"/>
      <c r="R28" s="183"/>
      <c r="S28" s="183"/>
      <c r="T28" s="150"/>
      <c r="U28" s="150"/>
      <c r="V28" s="150"/>
      <c r="W28" s="150"/>
      <c r="X28" s="150"/>
      <c r="Y28" s="150"/>
      <c r="Z28" s="184"/>
      <c r="AA28" s="185"/>
      <c r="AB28" s="185"/>
      <c r="AC28" s="185"/>
      <c r="AD28" s="185"/>
      <c r="AE28" s="185"/>
      <c r="AF28" s="185"/>
      <c r="AG28" s="186"/>
      <c r="AH28" s="183"/>
      <c r="AI28" s="183"/>
      <c r="AJ28" s="183"/>
      <c r="AK28" s="183"/>
      <c r="AL28" s="183"/>
      <c r="AM28" s="183"/>
      <c r="AN28" s="183"/>
      <c r="AO28" s="14"/>
      <c r="AQ28" s="11"/>
      <c r="AV28" s="149"/>
      <c r="AW28" s="149"/>
      <c r="AX28" s="149"/>
      <c r="AY28" s="149"/>
      <c r="AZ28" s="149"/>
      <c r="BA28" s="149"/>
      <c r="BB28" s="149"/>
      <c r="BC28" s="149"/>
      <c r="BD28" s="149"/>
      <c r="BE28" s="57"/>
      <c r="BF28" s="54"/>
      <c r="BG28" s="148"/>
      <c r="BH28" s="148"/>
      <c r="BI28" s="148"/>
      <c r="BJ28" s="148"/>
      <c r="BK28" s="148"/>
      <c r="BL28" s="148"/>
      <c r="BM28" s="148"/>
      <c r="BN28" s="148"/>
    </row>
    <row r="29" spans="1:66" ht="13.5" customHeight="1">
      <c r="C29" s="10"/>
      <c r="D29" s="150"/>
      <c r="E29" s="150"/>
      <c r="F29" s="150"/>
      <c r="G29" s="150"/>
      <c r="H29" s="150"/>
      <c r="I29" s="150"/>
      <c r="J29" s="150"/>
      <c r="K29" s="150"/>
      <c r="L29" s="150"/>
      <c r="M29" s="187"/>
      <c r="N29" s="187"/>
      <c r="O29" s="187"/>
      <c r="P29" s="187"/>
      <c r="Q29" s="187"/>
      <c r="R29" s="187"/>
      <c r="S29" s="187"/>
      <c r="T29" s="150"/>
      <c r="U29" s="150"/>
      <c r="V29" s="150"/>
      <c r="W29" s="150"/>
      <c r="X29" s="150"/>
      <c r="Y29" s="150"/>
      <c r="Z29" s="189"/>
      <c r="AA29" s="189"/>
      <c r="AB29" s="189"/>
      <c r="AC29" s="189"/>
      <c r="AD29" s="189"/>
      <c r="AE29" s="189"/>
      <c r="AF29" s="189"/>
      <c r="AG29" s="189"/>
      <c r="AH29" s="190"/>
      <c r="AI29" s="190"/>
      <c r="AJ29" s="190"/>
      <c r="AK29" s="190"/>
      <c r="AL29" s="190"/>
      <c r="AM29" s="190"/>
      <c r="AN29" s="190"/>
      <c r="AO29" s="14"/>
      <c r="AQ29" s="11"/>
      <c r="AV29" s="149"/>
      <c r="AW29" s="149"/>
      <c r="AX29" s="149"/>
      <c r="AY29" s="149"/>
      <c r="AZ29" s="149"/>
      <c r="BA29" s="149"/>
      <c r="BB29" s="149"/>
      <c r="BC29" s="149"/>
      <c r="BD29" s="149"/>
      <c r="BE29" s="58"/>
      <c r="BF29" s="54"/>
      <c r="BG29" s="148"/>
      <c r="BH29" s="148"/>
      <c r="BI29" s="148"/>
      <c r="BJ29" s="148"/>
      <c r="BK29" s="148"/>
      <c r="BL29" s="148"/>
      <c r="BM29" s="148"/>
      <c r="BN29" s="148"/>
    </row>
    <row r="30" spans="1:66" ht="13.5" customHeight="1">
      <c r="C30" s="10"/>
      <c r="D30" s="150"/>
      <c r="E30" s="150"/>
      <c r="F30" s="150"/>
      <c r="G30" s="150"/>
      <c r="H30" s="150"/>
      <c r="I30" s="150"/>
      <c r="J30" s="150"/>
      <c r="K30" s="150"/>
      <c r="L30" s="150"/>
      <c r="M30" s="183"/>
      <c r="N30" s="183"/>
      <c r="O30" s="183"/>
      <c r="P30" s="183"/>
      <c r="Q30" s="183"/>
      <c r="R30" s="183"/>
      <c r="S30" s="183"/>
      <c r="T30" s="150"/>
      <c r="U30" s="150"/>
      <c r="V30" s="150"/>
      <c r="W30" s="150"/>
      <c r="X30" s="150"/>
      <c r="Y30" s="150"/>
      <c r="Z30" s="184"/>
      <c r="AA30" s="185"/>
      <c r="AB30" s="185"/>
      <c r="AC30" s="185"/>
      <c r="AD30" s="185"/>
      <c r="AE30" s="185"/>
      <c r="AF30" s="185"/>
      <c r="AG30" s="186"/>
      <c r="AH30" s="183"/>
      <c r="AI30" s="183"/>
      <c r="AJ30" s="183"/>
      <c r="AK30" s="183"/>
      <c r="AL30" s="183"/>
      <c r="AM30" s="183"/>
      <c r="AN30" s="183"/>
      <c r="AO30" s="14"/>
      <c r="AQ30" s="11"/>
      <c r="AV30" s="149"/>
      <c r="AW30" s="149"/>
      <c r="AX30" s="149"/>
      <c r="AY30" s="149"/>
      <c r="AZ30" s="149"/>
      <c r="BA30" s="149"/>
      <c r="BB30" s="149"/>
      <c r="BC30" s="149"/>
      <c r="BD30" s="149"/>
      <c r="BE30" s="58"/>
      <c r="BF30" s="54"/>
      <c r="BG30" s="148"/>
      <c r="BH30" s="148"/>
      <c r="BI30" s="148"/>
      <c r="BJ30" s="148"/>
      <c r="BK30" s="148"/>
      <c r="BL30" s="148"/>
      <c r="BM30" s="148"/>
      <c r="BN30" s="148"/>
    </row>
    <row r="31" spans="1:66" ht="13.2" customHeight="1">
      <c r="C31" s="10"/>
      <c r="D31" s="150"/>
      <c r="E31" s="150"/>
      <c r="F31" s="150"/>
      <c r="G31" s="150"/>
      <c r="H31" s="150"/>
      <c r="I31" s="150"/>
      <c r="J31" s="150"/>
      <c r="K31" s="150"/>
      <c r="L31" s="150"/>
      <c r="M31" s="187"/>
      <c r="N31" s="187"/>
      <c r="O31" s="187"/>
      <c r="P31" s="187"/>
      <c r="Q31" s="187"/>
      <c r="R31" s="187"/>
      <c r="S31" s="187"/>
      <c r="T31" s="150"/>
      <c r="U31" s="150"/>
      <c r="V31" s="150"/>
      <c r="W31" s="150"/>
      <c r="X31" s="150"/>
      <c r="Y31" s="150"/>
      <c r="Z31" s="189"/>
      <c r="AA31" s="189"/>
      <c r="AB31" s="189"/>
      <c r="AC31" s="189"/>
      <c r="AD31" s="189"/>
      <c r="AE31" s="189"/>
      <c r="AF31" s="189"/>
      <c r="AG31" s="189"/>
      <c r="AH31" s="190"/>
      <c r="AI31" s="190"/>
      <c r="AJ31" s="190"/>
      <c r="AK31" s="190"/>
      <c r="AL31" s="190"/>
      <c r="AM31" s="190"/>
      <c r="AN31" s="190"/>
      <c r="AO31" s="14"/>
      <c r="AQ31" s="11"/>
      <c r="AV31" s="149"/>
      <c r="AW31" s="149"/>
      <c r="AX31" s="149"/>
      <c r="AY31" s="149"/>
      <c r="AZ31" s="149"/>
      <c r="BA31" s="149"/>
      <c r="BB31" s="149"/>
      <c r="BC31" s="149"/>
      <c r="BD31" s="149"/>
      <c r="BE31" s="57"/>
      <c r="BF31" s="54"/>
      <c r="BG31" s="148"/>
      <c r="BH31" s="148"/>
      <c r="BI31" s="148"/>
      <c r="BJ31" s="148"/>
      <c r="BK31" s="148"/>
      <c r="BL31" s="148"/>
      <c r="BM31" s="148"/>
      <c r="BN31" s="148"/>
    </row>
    <row r="32" spans="1:66" ht="13.2" customHeight="1">
      <c r="C32" s="10"/>
      <c r="D32" s="150"/>
      <c r="E32" s="150"/>
      <c r="F32" s="150"/>
      <c r="G32" s="150"/>
      <c r="H32" s="150"/>
      <c r="I32" s="150"/>
      <c r="J32" s="150"/>
      <c r="K32" s="150"/>
      <c r="L32" s="150"/>
      <c r="M32" s="183"/>
      <c r="N32" s="183"/>
      <c r="O32" s="183"/>
      <c r="P32" s="183"/>
      <c r="Q32" s="183"/>
      <c r="R32" s="183"/>
      <c r="S32" s="183"/>
      <c r="T32" s="150"/>
      <c r="U32" s="150"/>
      <c r="V32" s="150"/>
      <c r="W32" s="150"/>
      <c r="X32" s="150"/>
      <c r="Y32" s="150"/>
      <c r="Z32" s="184"/>
      <c r="AA32" s="185"/>
      <c r="AB32" s="185"/>
      <c r="AC32" s="185"/>
      <c r="AD32" s="185"/>
      <c r="AE32" s="185"/>
      <c r="AF32" s="185"/>
      <c r="AG32" s="186"/>
      <c r="AH32" s="183"/>
      <c r="AI32" s="183"/>
      <c r="AJ32" s="183"/>
      <c r="AK32" s="183"/>
      <c r="AL32" s="183"/>
      <c r="AM32" s="183"/>
      <c r="AN32" s="183"/>
      <c r="AO32" s="14"/>
      <c r="AQ32" s="11"/>
      <c r="AV32" s="149"/>
      <c r="AW32" s="149"/>
      <c r="AX32" s="149"/>
      <c r="AY32" s="149"/>
      <c r="AZ32" s="149"/>
      <c r="BA32" s="149"/>
      <c r="BB32" s="149"/>
      <c r="BC32" s="149"/>
      <c r="BD32" s="149"/>
      <c r="BE32" s="58"/>
      <c r="BF32" s="54"/>
      <c r="BG32" s="148"/>
      <c r="BH32" s="148"/>
      <c r="BI32" s="148"/>
      <c r="BJ32" s="148"/>
      <c r="BK32" s="148"/>
      <c r="BL32" s="148"/>
      <c r="BM32" s="148"/>
      <c r="BN32" s="148"/>
    </row>
    <row r="33" spans="1:74" ht="13.5" customHeight="1">
      <c r="C33" s="10"/>
      <c r="D33" s="150"/>
      <c r="E33" s="150"/>
      <c r="F33" s="150"/>
      <c r="G33" s="150"/>
      <c r="H33" s="150"/>
      <c r="I33" s="150"/>
      <c r="J33" s="150"/>
      <c r="K33" s="150"/>
      <c r="L33" s="150"/>
      <c r="M33" s="187"/>
      <c r="N33" s="187"/>
      <c r="O33" s="187"/>
      <c r="P33" s="187"/>
      <c r="Q33" s="187"/>
      <c r="R33" s="187"/>
      <c r="S33" s="187"/>
      <c r="T33" s="150"/>
      <c r="U33" s="150"/>
      <c r="V33" s="150"/>
      <c r="W33" s="150"/>
      <c r="X33" s="150"/>
      <c r="Y33" s="150"/>
      <c r="Z33" s="189"/>
      <c r="AA33" s="189"/>
      <c r="AB33" s="189"/>
      <c r="AC33" s="189"/>
      <c r="AD33" s="189"/>
      <c r="AE33" s="189"/>
      <c r="AF33" s="189"/>
      <c r="AG33" s="189"/>
      <c r="AH33" s="190"/>
      <c r="AI33" s="190"/>
      <c r="AJ33" s="190"/>
      <c r="AK33" s="190"/>
      <c r="AL33" s="190"/>
      <c r="AM33" s="190"/>
      <c r="AN33" s="190"/>
      <c r="AO33" s="14"/>
      <c r="AQ33" s="11"/>
      <c r="AV33" s="149"/>
      <c r="AW33" s="149"/>
      <c r="AX33" s="149"/>
      <c r="AY33" s="149"/>
      <c r="AZ33" s="149"/>
      <c r="BA33" s="149"/>
      <c r="BB33" s="149"/>
      <c r="BC33" s="149"/>
      <c r="BD33" s="149"/>
      <c r="BE33" s="58"/>
      <c r="BF33" s="54"/>
      <c r="BG33" s="148"/>
      <c r="BH33" s="148"/>
      <c r="BI33" s="148"/>
      <c r="BJ33" s="148"/>
      <c r="BK33" s="148"/>
      <c r="BL33" s="148"/>
      <c r="BM33" s="148"/>
      <c r="BN33" s="148"/>
    </row>
    <row r="34" spans="1:74" ht="13.5" customHeight="1">
      <c r="C34" s="10"/>
      <c r="D34" s="150"/>
      <c r="E34" s="150"/>
      <c r="F34" s="150"/>
      <c r="G34" s="150"/>
      <c r="H34" s="150"/>
      <c r="I34" s="150"/>
      <c r="J34" s="150"/>
      <c r="K34" s="150"/>
      <c r="L34" s="150"/>
      <c r="M34" s="183"/>
      <c r="N34" s="183"/>
      <c r="O34" s="183"/>
      <c r="P34" s="183"/>
      <c r="Q34" s="183"/>
      <c r="R34" s="183"/>
      <c r="S34" s="183"/>
      <c r="T34" s="150"/>
      <c r="U34" s="150"/>
      <c r="V34" s="150"/>
      <c r="W34" s="150"/>
      <c r="X34" s="150"/>
      <c r="Y34" s="150"/>
      <c r="Z34" s="184"/>
      <c r="AA34" s="185"/>
      <c r="AB34" s="185"/>
      <c r="AC34" s="185"/>
      <c r="AD34" s="185"/>
      <c r="AE34" s="185"/>
      <c r="AF34" s="185"/>
      <c r="AG34" s="186"/>
      <c r="AH34" s="183"/>
      <c r="AI34" s="183"/>
      <c r="AJ34" s="183"/>
      <c r="AK34" s="183"/>
      <c r="AL34" s="183"/>
      <c r="AM34" s="183"/>
      <c r="AN34" s="183"/>
      <c r="AO34" s="14"/>
      <c r="AQ34" s="11"/>
      <c r="AV34" s="149"/>
      <c r="AW34" s="149"/>
      <c r="AX34" s="149"/>
      <c r="AY34" s="149"/>
      <c r="AZ34" s="149"/>
      <c r="BA34" s="149"/>
      <c r="BB34" s="149"/>
      <c r="BC34" s="149"/>
      <c r="BD34" s="149"/>
      <c r="BE34" s="57"/>
      <c r="BF34" s="54"/>
      <c r="BG34" s="148"/>
      <c r="BH34" s="148"/>
      <c r="BI34" s="148"/>
      <c r="BJ34" s="148"/>
      <c r="BK34" s="148"/>
      <c r="BL34" s="148"/>
      <c r="BM34" s="148"/>
      <c r="BN34" s="148"/>
    </row>
    <row r="35" spans="1:74" ht="13.5" customHeight="1">
      <c r="C35" s="10"/>
      <c r="D35" s="150"/>
      <c r="E35" s="150"/>
      <c r="F35" s="150"/>
      <c r="G35" s="150"/>
      <c r="H35" s="150"/>
      <c r="I35" s="150"/>
      <c r="J35" s="150"/>
      <c r="K35" s="150"/>
      <c r="L35" s="150"/>
      <c r="M35" s="187"/>
      <c r="N35" s="187"/>
      <c r="O35" s="187"/>
      <c r="P35" s="187"/>
      <c r="Q35" s="187"/>
      <c r="R35" s="187"/>
      <c r="S35" s="187"/>
      <c r="T35" s="188"/>
      <c r="U35" s="188"/>
      <c r="V35" s="188"/>
      <c r="W35" s="188"/>
      <c r="X35" s="188"/>
      <c r="Y35" s="188"/>
      <c r="Z35" s="189"/>
      <c r="AA35" s="189"/>
      <c r="AB35" s="189"/>
      <c r="AC35" s="189"/>
      <c r="AD35" s="189"/>
      <c r="AE35" s="189"/>
      <c r="AF35" s="189"/>
      <c r="AG35" s="189"/>
      <c r="AH35" s="190"/>
      <c r="AI35" s="190"/>
      <c r="AJ35" s="190"/>
      <c r="AK35" s="190"/>
      <c r="AL35" s="190"/>
      <c r="AM35" s="190"/>
      <c r="AN35" s="190"/>
      <c r="AO35" s="14"/>
      <c r="AQ35" s="11"/>
      <c r="AV35" s="149"/>
      <c r="AW35" s="149"/>
      <c r="AX35" s="149"/>
      <c r="AY35" s="149"/>
      <c r="AZ35" s="149"/>
      <c r="BA35" s="149"/>
      <c r="BB35" s="149"/>
      <c r="BC35" s="149"/>
      <c r="BD35" s="149"/>
      <c r="BE35" s="58"/>
      <c r="BF35" s="58"/>
      <c r="BG35" s="148"/>
      <c r="BH35" s="148"/>
      <c r="BI35" s="148"/>
      <c r="BJ35" s="148"/>
      <c r="BK35" s="148"/>
      <c r="BL35" s="148"/>
      <c r="BM35" s="148"/>
      <c r="BN35" s="148"/>
      <c r="BO35" s="45"/>
      <c r="BP35" s="45"/>
      <c r="BQ35" s="45"/>
      <c r="BR35" s="45"/>
      <c r="BS35" s="45"/>
      <c r="BT35" s="45"/>
      <c r="BU35" s="45"/>
      <c r="BV35" s="45"/>
    </row>
    <row r="36" spans="1:74" ht="13.5" customHeight="1">
      <c r="C36" s="10"/>
      <c r="D36" s="150"/>
      <c r="E36" s="150"/>
      <c r="F36" s="150"/>
      <c r="G36" s="150"/>
      <c r="H36" s="150"/>
      <c r="I36" s="150"/>
      <c r="J36" s="150"/>
      <c r="K36" s="150"/>
      <c r="L36" s="150"/>
      <c r="M36" s="183"/>
      <c r="N36" s="183"/>
      <c r="O36" s="183"/>
      <c r="P36" s="183"/>
      <c r="Q36" s="183"/>
      <c r="R36" s="183"/>
      <c r="S36" s="183"/>
      <c r="T36" s="188"/>
      <c r="U36" s="188"/>
      <c r="V36" s="188"/>
      <c r="W36" s="188"/>
      <c r="X36" s="188"/>
      <c r="Y36" s="188"/>
      <c r="Z36" s="184"/>
      <c r="AA36" s="185"/>
      <c r="AB36" s="185"/>
      <c r="AC36" s="185"/>
      <c r="AD36" s="185"/>
      <c r="AE36" s="185"/>
      <c r="AF36" s="185"/>
      <c r="AG36" s="186"/>
      <c r="AH36" s="183"/>
      <c r="AI36" s="183"/>
      <c r="AJ36" s="183"/>
      <c r="AK36" s="183"/>
      <c r="AL36" s="183"/>
      <c r="AM36" s="183"/>
      <c r="AN36" s="183"/>
      <c r="AO36" s="14"/>
      <c r="AQ36" s="11"/>
      <c r="AV36" s="148"/>
      <c r="AW36" s="148"/>
      <c r="AX36" s="148"/>
      <c r="AY36" s="148"/>
      <c r="AZ36" s="148"/>
      <c r="BA36" s="148"/>
      <c r="BB36" s="148"/>
      <c r="BC36" s="148"/>
      <c r="BD36" s="148"/>
      <c r="BE36" s="58"/>
      <c r="BF36" s="58"/>
      <c r="BG36" s="148"/>
      <c r="BH36" s="148"/>
      <c r="BI36" s="148"/>
      <c r="BJ36" s="148"/>
      <c r="BK36" s="148"/>
      <c r="BL36" s="148"/>
      <c r="BM36" s="148"/>
      <c r="BN36" s="148"/>
      <c r="BO36" s="45"/>
      <c r="BP36" s="45"/>
      <c r="BQ36" s="45"/>
      <c r="BR36" s="45"/>
      <c r="BS36" s="45"/>
      <c r="BT36" s="45"/>
      <c r="BU36" s="45"/>
      <c r="BV36" s="45"/>
    </row>
    <row r="37" spans="1:74" ht="13.5" customHeight="1">
      <c r="C37" s="10"/>
      <c r="D37" s="150"/>
      <c r="E37" s="150"/>
      <c r="F37" s="150"/>
      <c r="G37" s="150"/>
      <c r="H37" s="150"/>
      <c r="I37" s="150"/>
      <c r="J37" s="150"/>
      <c r="K37" s="150"/>
      <c r="L37" s="150"/>
      <c r="M37" s="187"/>
      <c r="N37" s="187"/>
      <c r="O37" s="187"/>
      <c r="P37" s="187"/>
      <c r="Q37" s="187"/>
      <c r="R37" s="187"/>
      <c r="S37" s="187"/>
      <c r="T37" s="188"/>
      <c r="U37" s="188"/>
      <c r="V37" s="188"/>
      <c r="W37" s="188"/>
      <c r="X37" s="188"/>
      <c r="Y37" s="188"/>
      <c r="Z37" s="189"/>
      <c r="AA37" s="189"/>
      <c r="AB37" s="189"/>
      <c r="AC37" s="189"/>
      <c r="AD37" s="189"/>
      <c r="AE37" s="189"/>
      <c r="AF37" s="189"/>
      <c r="AG37" s="189"/>
      <c r="AH37" s="190"/>
      <c r="AI37" s="190"/>
      <c r="AJ37" s="190"/>
      <c r="AK37" s="190"/>
      <c r="AL37" s="190"/>
      <c r="AM37" s="190"/>
      <c r="AN37" s="190"/>
      <c r="AO37" s="14"/>
      <c r="AQ37" s="11"/>
      <c r="AV37" s="149"/>
      <c r="AW37" s="149"/>
      <c r="AX37" s="149"/>
      <c r="AY37" s="149"/>
      <c r="AZ37" s="149"/>
      <c r="BA37" s="149"/>
      <c r="BB37" s="149"/>
      <c r="BC37" s="149"/>
      <c r="BD37" s="149"/>
      <c r="BE37" s="56"/>
      <c r="BF37" s="59"/>
      <c r="BG37" s="148"/>
      <c r="BH37" s="148"/>
      <c r="BI37" s="148"/>
      <c r="BJ37" s="148"/>
      <c r="BK37" s="148"/>
      <c r="BL37" s="148"/>
      <c r="BM37" s="148"/>
      <c r="BN37" s="148"/>
      <c r="BO37" s="45"/>
      <c r="BP37" s="45"/>
      <c r="BQ37" s="45"/>
      <c r="BR37" s="45"/>
      <c r="BS37" s="45"/>
      <c r="BT37" s="45"/>
      <c r="BU37" s="45"/>
      <c r="BV37" s="45"/>
    </row>
    <row r="38" spans="1:74" ht="13.5" customHeight="1">
      <c r="C38" s="10"/>
      <c r="D38" s="150"/>
      <c r="E38" s="150"/>
      <c r="F38" s="150"/>
      <c r="G38" s="150"/>
      <c r="H38" s="150"/>
      <c r="I38" s="150"/>
      <c r="J38" s="150"/>
      <c r="K38" s="150"/>
      <c r="L38" s="150"/>
      <c r="M38" s="183"/>
      <c r="N38" s="183"/>
      <c r="O38" s="183"/>
      <c r="P38" s="183"/>
      <c r="Q38" s="183"/>
      <c r="R38" s="183"/>
      <c r="S38" s="183"/>
      <c r="T38" s="188"/>
      <c r="U38" s="188"/>
      <c r="V38" s="188"/>
      <c r="W38" s="188"/>
      <c r="X38" s="188"/>
      <c r="Y38" s="188"/>
      <c r="Z38" s="184"/>
      <c r="AA38" s="185"/>
      <c r="AB38" s="185"/>
      <c r="AC38" s="185"/>
      <c r="AD38" s="185"/>
      <c r="AE38" s="185"/>
      <c r="AF38" s="185"/>
      <c r="AG38" s="186"/>
      <c r="AH38" s="183"/>
      <c r="AI38" s="183"/>
      <c r="AJ38" s="183"/>
      <c r="AK38" s="183"/>
      <c r="AL38" s="183"/>
      <c r="AM38" s="183"/>
      <c r="AN38" s="183"/>
      <c r="AO38" s="14"/>
      <c r="AQ38" s="11"/>
      <c r="AV38" s="149"/>
      <c r="AW38" s="149"/>
      <c r="AX38" s="149"/>
      <c r="AY38" s="149"/>
      <c r="AZ38" s="149"/>
      <c r="BA38" s="149"/>
      <c r="BB38" s="149"/>
      <c r="BC38" s="149"/>
      <c r="BD38" s="149"/>
      <c r="BE38" s="56"/>
      <c r="BF38" s="59"/>
      <c r="BG38" s="148"/>
      <c r="BH38" s="148"/>
      <c r="BI38" s="148"/>
      <c r="BJ38" s="148"/>
      <c r="BK38" s="148"/>
      <c r="BL38" s="148"/>
      <c r="BM38" s="148"/>
      <c r="BN38" s="148"/>
      <c r="BO38" s="45"/>
      <c r="BP38" s="45"/>
      <c r="BQ38" s="45"/>
      <c r="BR38" s="45"/>
      <c r="BS38" s="45"/>
      <c r="BT38" s="45"/>
      <c r="BU38" s="45"/>
      <c r="BV38" s="45"/>
    </row>
    <row r="39" spans="1:74" ht="13.2" customHeight="1">
      <c r="C39" s="10"/>
      <c r="D39" s="150"/>
      <c r="E39" s="150"/>
      <c r="F39" s="150"/>
      <c r="G39" s="150"/>
      <c r="H39" s="150"/>
      <c r="I39" s="150"/>
      <c r="J39" s="150"/>
      <c r="K39" s="150"/>
      <c r="L39" s="150"/>
      <c r="M39" s="187"/>
      <c r="N39" s="187"/>
      <c r="O39" s="187"/>
      <c r="P39" s="187"/>
      <c r="Q39" s="187"/>
      <c r="R39" s="187"/>
      <c r="S39" s="187"/>
      <c r="T39" s="150"/>
      <c r="U39" s="150"/>
      <c r="V39" s="150"/>
      <c r="W39" s="150"/>
      <c r="X39" s="150"/>
      <c r="Y39" s="150"/>
      <c r="Z39" s="189"/>
      <c r="AA39" s="189"/>
      <c r="AB39" s="189"/>
      <c r="AC39" s="189"/>
      <c r="AD39" s="189"/>
      <c r="AE39" s="189"/>
      <c r="AF39" s="189"/>
      <c r="AG39" s="189"/>
      <c r="AH39" s="190"/>
      <c r="AI39" s="190"/>
      <c r="AJ39" s="190"/>
      <c r="AK39" s="190"/>
      <c r="AL39" s="190"/>
      <c r="AM39" s="190"/>
      <c r="AN39" s="190"/>
      <c r="AO39" s="14"/>
      <c r="AQ39" s="11"/>
      <c r="AV39" s="149"/>
      <c r="AW39" s="149"/>
      <c r="AX39" s="149"/>
      <c r="AY39" s="149"/>
      <c r="AZ39" s="149"/>
      <c r="BA39" s="149"/>
      <c r="BB39" s="149"/>
      <c r="BC39" s="149"/>
      <c r="BD39" s="149"/>
      <c r="BE39" s="56"/>
      <c r="BF39" s="54"/>
      <c r="BG39" s="148"/>
      <c r="BH39" s="148"/>
      <c r="BI39" s="148"/>
      <c r="BJ39" s="148"/>
      <c r="BK39" s="148"/>
      <c r="BL39" s="148"/>
      <c r="BM39" s="148"/>
      <c r="BN39" s="148"/>
      <c r="BO39" s="45"/>
      <c r="BP39" s="45"/>
      <c r="BQ39" s="45"/>
      <c r="BR39" s="45"/>
      <c r="BS39" s="45"/>
      <c r="BT39" s="45"/>
      <c r="BU39" s="45"/>
      <c r="BV39" s="45"/>
    </row>
    <row r="40" spans="1:74" ht="13.2" customHeight="1">
      <c r="C40" s="10"/>
      <c r="D40" s="150"/>
      <c r="E40" s="150"/>
      <c r="F40" s="150"/>
      <c r="G40" s="150"/>
      <c r="H40" s="150"/>
      <c r="I40" s="150"/>
      <c r="J40" s="150"/>
      <c r="K40" s="150"/>
      <c r="L40" s="150"/>
      <c r="M40" s="183"/>
      <c r="N40" s="183"/>
      <c r="O40" s="183"/>
      <c r="P40" s="183"/>
      <c r="Q40" s="183"/>
      <c r="R40" s="183"/>
      <c r="S40" s="183"/>
      <c r="T40" s="150"/>
      <c r="U40" s="150"/>
      <c r="V40" s="150"/>
      <c r="W40" s="150"/>
      <c r="X40" s="150"/>
      <c r="Y40" s="150"/>
      <c r="Z40" s="184"/>
      <c r="AA40" s="185"/>
      <c r="AB40" s="185"/>
      <c r="AC40" s="185"/>
      <c r="AD40" s="185"/>
      <c r="AE40" s="185"/>
      <c r="AF40" s="185"/>
      <c r="AG40" s="186"/>
      <c r="AH40" s="183"/>
      <c r="AI40" s="183"/>
      <c r="AJ40" s="183"/>
      <c r="AK40" s="183"/>
      <c r="AL40" s="183"/>
      <c r="AM40" s="183"/>
      <c r="AN40" s="183"/>
      <c r="AO40" s="14"/>
      <c r="AQ40" s="11"/>
      <c r="AV40" s="160"/>
      <c r="AW40" s="160"/>
      <c r="AX40" s="160"/>
      <c r="AY40" s="160"/>
      <c r="AZ40" s="160"/>
      <c r="BA40" s="160"/>
      <c r="BB40" s="160"/>
      <c r="BC40" s="160"/>
      <c r="BD40" s="160"/>
      <c r="BE40" s="60"/>
      <c r="BF40" s="54"/>
      <c r="BG40" s="148"/>
      <c r="BH40" s="148"/>
      <c r="BI40" s="148"/>
      <c r="BJ40" s="148"/>
      <c r="BK40" s="148"/>
      <c r="BL40" s="148"/>
      <c r="BM40" s="148"/>
      <c r="BN40" s="148"/>
      <c r="BO40" s="45"/>
      <c r="BP40" s="45"/>
      <c r="BQ40" s="45"/>
      <c r="BR40" s="45"/>
      <c r="BS40" s="45"/>
      <c r="BT40" s="45"/>
      <c r="BU40" s="45"/>
      <c r="BV40" s="45"/>
    </row>
    <row r="41" spans="1:74">
      <c r="C41" s="10"/>
      <c r="D41" s="150"/>
      <c r="E41" s="150"/>
      <c r="F41" s="150"/>
      <c r="G41" s="150"/>
      <c r="H41" s="150"/>
      <c r="I41" s="150"/>
      <c r="J41" s="150"/>
      <c r="K41" s="150"/>
      <c r="L41" s="150"/>
      <c r="M41" s="187"/>
      <c r="N41" s="187"/>
      <c r="O41" s="187"/>
      <c r="P41" s="187"/>
      <c r="Q41" s="187"/>
      <c r="R41" s="187"/>
      <c r="S41" s="187"/>
      <c r="T41" s="150"/>
      <c r="U41" s="150"/>
      <c r="V41" s="150"/>
      <c r="W41" s="150"/>
      <c r="X41" s="150"/>
      <c r="Y41" s="150"/>
      <c r="Z41" s="189"/>
      <c r="AA41" s="189"/>
      <c r="AB41" s="189"/>
      <c r="AC41" s="189"/>
      <c r="AD41" s="189"/>
      <c r="AE41" s="189"/>
      <c r="AF41" s="189"/>
      <c r="AG41" s="189"/>
      <c r="AH41" s="190"/>
      <c r="AI41" s="190"/>
      <c r="AJ41" s="190"/>
      <c r="AK41" s="190"/>
      <c r="AL41" s="190"/>
      <c r="AM41" s="190"/>
      <c r="AN41" s="190"/>
      <c r="AO41" s="14"/>
      <c r="AQ41" s="11"/>
      <c r="AV41" s="160"/>
      <c r="AW41" s="160"/>
      <c r="AX41" s="160"/>
      <c r="AY41" s="160"/>
      <c r="AZ41" s="160"/>
      <c r="BA41" s="160"/>
      <c r="BB41" s="160"/>
      <c r="BC41" s="160"/>
      <c r="BD41" s="160"/>
      <c r="BE41" s="57"/>
      <c r="BF41" s="54"/>
      <c r="BG41" s="148"/>
      <c r="BH41" s="148"/>
      <c r="BI41" s="148"/>
      <c r="BJ41" s="148"/>
      <c r="BK41" s="148"/>
      <c r="BL41" s="148"/>
      <c r="BM41" s="148"/>
      <c r="BN41" s="148"/>
      <c r="BO41" s="45"/>
      <c r="BP41" s="45"/>
      <c r="BQ41" s="45"/>
      <c r="BR41" s="45"/>
      <c r="BS41" s="45"/>
      <c r="BT41" s="45"/>
      <c r="BU41" s="45"/>
      <c r="BV41" s="45"/>
    </row>
    <row r="42" spans="1:74" ht="13.5" customHeight="1">
      <c r="C42" s="10"/>
      <c r="D42" s="150"/>
      <c r="E42" s="150"/>
      <c r="F42" s="150"/>
      <c r="G42" s="150"/>
      <c r="H42" s="150"/>
      <c r="I42" s="150"/>
      <c r="J42" s="150"/>
      <c r="K42" s="150"/>
      <c r="L42" s="150"/>
      <c r="M42" s="183"/>
      <c r="N42" s="183"/>
      <c r="O42" s="183"/>
      <c r="P42" s="183"/>
      <c r="Q42" s="183"/>
      <c r="R42" s="183"/>
      <c r="S42" s="183"/>
      <c r="T42" s="150"/>
      <c r="U42" s="150"/>
      <c r="V42" s="150"/>
      <c r="W42" s="150"/>
      <c r="X42" s="150"/>
      <c r="Y42" s="150"/>
      <c r="Z42" s="184"/>
      <c r="AA42" s="185"/>
      <c r="AB42" s="185"/>
      <c r="AC42" s="185"/>
      <c r="AD42" s="185"/>
      <c r="AE42" s="185"/>
      <c r="AF42" s="185"/>
      <c r="AG42" s="186"/>
      <c r="AH42" s="183"/>
      <c r="AI42" s="183"/>
      <c r="AJ42" s="183"/>
      <c r="AK42" s="183"/>
      <c r="AL42" s="183"/>
      <c r="AM42" s="183"/>
      <c r="AN42" s="183"/>
      <c r="AO42" s="14"/>
      <c r="AQ42" s="11"/>
      <c r="AV42" s="48"/>
      <c r="AW42" s="48"/>
      <c r="AX42" s="48"/>
      <c r="AY42" s="48"/>
      <c r="AZ42" s="48"/>
      <c r="BA42" s="48"/>
      <c r="BB42" s="48"/>
      <c r="BC42" s="48"/>
      <c r="BD42" s="48"/>
      <c r="BE42" s="57"/>
      <c r="BF42" s="54"/>
      <c r="BG42" s="148"/>
      <c r="BH42" s="148"/>
      <c r="BI42" s="148"/>
      <c r="BJ42" s="148"/>
      <c r="BK42" s="148"/>
      <c r="BL42" s="148"/>
      <c r="BM42" s="148"/>
      <c r="BN42" s="148"/>
      <c r="BO42" s="45"/>
      <c r="BP42" s="45"/>
      <c r="BQ42" s="45"/>
      <c r="BR42" s="45"/>
      <c r="BS42" s="45"/>
      <c r="BT42" s="45"/>
      <c r="BU42" s="45"/>
      <c r="BV42" s="45"/>
    </row>
    <row r="43" spans="1:74" ht="13.5" customHeight="1">
      <c r="C43" s="10"/>
      <c r="D43" s="150"/>
      <c r="E43" s="150"/>
      <c r="F43" s="150"/>
      <c r="G43" s="150"/>
      <c r="H43" s="150"/>
      <c r="I43" s="150"/>
      <c r="J43" s="150"/>
      <c r="K43" s="150"/>
      <c r="L43" s="150"/>
      <c r="M43" s="187"/>
      <c r="N43" s="187"/>
      <c r="O43" s="187"/>
      <c r="P43" s="187"/>
      <c r="Q43" s="187"/>
      <c r="R43" s="187"/>
      <c r="S43" s="187"/>
      <c r="T43" s="150"/>
      <c r="U43" s="150"/>
      <c r="V43" s="150"/>
      <c r="W43" s="150"/>
      <c r="X43" s="150"/>
      <c r="Y43" s="150"/>
      <c r="Z43" s="189"/>
      <c r="AA43" s="189"/>
      <c r="AB43" s="189"/>
      <c r="AC43" s="189"/>
      <c r="AD43" s="189"/>
      <c r="AE43" s="189"/>
      <c r="AF43" s="189"/>
      <c r="AG43" s="189"/>
      <c r="AH43" s="190"/>
      <c r="AI43" s="190"/>
      <c r="AJ43" s="190"/>
      <c r="AK43" s="190"/>
      <c r="AL43" s="190"/>
      <c r="AM43" s="190"/>
      <c r="AN43" s="190"/>
      <c r="AO43" s="14"/>
      <c r="AQ43" s="11"/>
      <c r="BO43" s="45"/>
      <c r="BP43" s="45"/>
      <c r="BQ43" s="45"/>
      <c r="BR43" s="45"/>
      <c r="BS43" s="45"/>
      <c r="BT43" s="45"/>
      <c r="BU43" s="45"/>
      <c r="BV43" s="45"/>
    </row>
    <row r="44" spans="1:74" ht="13.5" customHeight="1">
      <c r="A44" s="18"/>
      <c r="C44" s="17"/>
      <c r="D44" s="150"/>
      <c r="E44" s="150"/>
      <c r="F44" s="150"/>
      <c r="G44" s="150"/>
      <c r="H44" s="150"/>
      <c r="I44" s="150"/>
      <c r="J44" s="150"/>
      <c r="K44" s="150"/>
      <c r="L44" s="150"/>
      <c r="M44" s="183"/>
      <c r="N44" s="183"/>
      <c r="O44" s="183"/>
      <c r="P44" s="183"/>
      <c r="Q44" s="183"/>
      <c r="R44" s="183"/>
      <c r="S44" s="183"/>
      <c r="T44" s="150"/>
      <c r="U44" s="150"/>
      <c r="V44" s="150"/>
      <c r="W44" s="150"/>
      <c r="X44" s="150"/>
      <c r="Y44" s="150"/>
      <c r="Z44" s="184"/>
      <c r="AA44" s="185"/>
      <c r="AB44" s="185"/>
      <c r="AC44" s="185"/>
      <c r="AD44" s="185"/>
      <c r="AE44" s="185"/>
      <c r="AF44" s="185"/>
      <c r="AG44" s="186"/>
      <c r="AH44" s="183"/>
      <c r="AI44" s="183"/>
      <c r="AJ44" s="183"/>
      <c r="AK44" s="183"/>
      <c r="AL44" s="183"/>
      <c r="AM44" s="183"/>
      <c r="AN44" s="183"/>
      <c r="AO44" s="14"/>
      <c r="AQ44" s="11"/>
      <c r="BO44" s="45"/>
      <c r="BP44" s="45"/>
      <c r="BQ44" s="45"/>
      <c r="BR44" s="45"/>
      <c r="BS44" s="45"/>
      <c r="BT44" s="45"/>
      <c r="BU44" s="45"/>
      <c r="BV44" s="45"/>
    </row>
    <row r="45" spans="1:74" ht="13.5" customHeight="1">
      <c r="C45" s="17"/>
      <c r="D45" s="150"/>
      <c r="E45" s="150"/>
      <c r="F45" s="150"/>
      <c r="G45" s="150"/>
      <c r="H45" s="150"/>
      <c r="I45" s="150"/>
      <c r="J45" s="150"/>
      <c r="K45" s="150"/>
      <c r="L45" s="150"/>
      <c r="M45" s="187"/>
      <c r="N45" s="187"/>
      <c r="O45" s="187"/>
      <c r="P45" s="187"/>
      <c r="Q45" s="187"/>
      <c r="R45" s="187"/>
      <c r="S45" s="187"/>
      <c r="T45" s="150"/>
      <c r="U45" s="150"/>
      <c r="V45" s="150"/>
      <c r="W45" s="150"/>
      <c r="X45" s="150"/>
      <c r="Y45" s="150"/>
      <c r="Z45" s="189"/>
      <c r="AA45" s="189"/>
      <c r="AB45" s="189"/>
      <c r="AC45" s="189"/>
      <c r="AD45" s="189"/>
      <c r="AE45" s="189"/>
      <c r="AF45" s="189"/>
      <c r="AG45" s="189"/>
      <c r="AH45" s="190"/>
      <c r="AI45" s="190"/>
      <c r="AJ45" s="190"/>
      <c r="AK45" s="190"/>
      <c r="AL45" s="190"/>
      <c r="AM45" s="190"/>
      <c r="AN45" s="190"/>
      <c r="AO45" s="14"/>
      <c r="AQ45" s="11"/>
      <c r="BO45" s="45"/>
      <c r="BP45" s="45"/>
      <c r="BQ45" s="45"/>
      <c r="BR45" s="45"/>
      <c r="BS45" s="45"/>
      <c r="BT45" s="45"/>
      <c r="BU45" s="45"/>
      <c r="BV45" s="45"/>
    </row>
    <row r="46" spans="1:74" ht="13.5" customHeight="1">
      <c r="A46" s="14"/>
      <c r="B46" s="14"/>
      <c r="C46" s="20"/>
      <c r="D46" s="150"/>
      <c r="E46" s="150"/>
      <c r="F46" s="150"/>
      <c r="G46" s="150"/>
      <c r="H46" s="150"/>
      <c r="I46" s="150"/>
      <c r="J46" s="150"/>
      <c r="K46" s="150"/>
      <c r="L46" s="150"/>
      <c r="M46" s="183"/>
      <c r="N46" s="183"/>
      <c r="O46" s="183"/>
      <c r="P46" s="183"/>
      <c r="Q46" s="183"/>
      <c r="R46" s="183"/>
      <c r="S46" s="183"/>
      <c r="T46" s="150"/>
      <c r="U46" s="150"/>
      <c r="V46" s="150"/>
      <c r="W46" s="150"/>
      <c r="X46" s="150"/>
      <c r="Y46" s="150"/>
      <c r="Z46" s="184"/>
      <c r="AA46" s="185"/>
      <c r="AB46" s="185"/>
      <c r="AC46" s="185"/>
      <c r="AD46" s="185"/>
      <c r="AE46" s="185"/>
      <c r="AF46" s="185"/>
      <c r="AG46" s="186"/>
      <c r="AH46" s="183"/>
      <c r="AI46" s="183"/>
      <c r="AJ46" s="183"/>
      <c r="AK46" s="183"/>
      <c r="AL46" s="183"/>
      <c r="AM46" s="183"/>
      <c r="AN46" s="183"/>
      <c r="AO46" s="14"/>
      <c r="AQ46" s="11"/>
      <c r="BO46" s="45"/>
      <c r="BP46" s="45"/>
      <c r="BQ46" s="45"/>
      <c r="BR46" s="45"/>
      <c r="BS46" s="45"/>
      <c r="BT46" s="45"/>
      <c r="BU46" s="45"/>
      <c r="BV46" s="45"/>
    </row>
    <row r="47" spans="1:74" ht="13.5" customHeight="1">
      <c r="A47" s="18"/>
      <c r="C47" s="10"/>
      <c r="AD47" s="45"/>
      <c r="AE47" s="45"/>
      <c r="AF47" s="45"/>
      <c r="AG47" s="45"/>
      <c r="AH47" s="45"/>
      <c r="AI47" s="45"/>
      <c r="AJ47" s="45"/>
      <c r="AK47" s="45"/>
      <c r="AL47" s="45"/>
      <c r="AM47" s="45"/>
      <c r="AN47" s="45"/>
      <c r="AO47" s="14"/>
      <c r="AQ47" s="11"/>
      <c r="BO47" s="45"/>
      <c r="BP47" s="45"/>
      <c r="BQ47" s="45"/>
      <c r="BR47" s="45"/>
      <c r="BS47" s="45"/>
      <c r="BT47" s="45"/>
      <c r="BU47" s="45"/>
      <c r="BV47" s="45"/>
    </row>
    <row r="48" spans="1:74" ht="13.5" customHeight="1">
      <c r="C48" s="10"/>
      <c r="AD48" s="45"/>
      <c r="AE48" s="45"/>
      <c r="AF48" s="45"/>
      <c r="AG48" s="45"/>
      <c r="AH48" s="45"/>
      <c r="AI48" s="45"/>
      <c r="AJ48" s="45"/>
      <c r="AK48" s="45"/>
      <c r="AL48" s="45"/>
      <c r="AM48" s="45"/>
      <c r="AN48" s="45"/>
      <c r="AO48" s="14"/>
      <c r="AQ48" s="11"/>
      <c r="BO48" s="45"/>
      <c r="BP48" s="45"/>
      <c r="BQ48" s="45"/>
      <c r="BR48" s="45"/>
      <c r="BS48" s="45"/>
      <c r="BT48" s="45"/>
      <c r="BU48" s="45"/>
      <c r="BV48" s="45"/>
    </row>
    <row r="49" spans="3:74" ht="13.5" customHeight="1">
      <c r="C49" s="10"/>
      <c r="AD49" s="14"/>
      <c r="AE49" s="14"/>
      <c r="AF49" s="14"/>
      <c r="AG49" s="14"/>
      <c r="AH49" s="14"/>
      <c r="AI49" s="14"/>
      <c r="AJ49" s="14"/>
      <c r="AK49" s="14"/>
      <c r="AL49" s="14"/>
      <c r="AM49" s="14"/>
      <c r="AN49" s="14"/>
      <c r="AO49" s="14"/>
      <c r="AQ49" s="11"/>
      <c r="BO49" s="45"/>
      <c r="BP49" s="45"/>
      <c r="BQ49" s="45"/>
      <c r="BR49" s="45"/>
      <c r="BS49" s="45"/>
      <c r="BT49" s="45"/>
      <c r="BU49" s="45"/>
      <c r="BV49" s="45"/>
    </row>
    <row r="50" spans="3:74" ht="13.5" customHeight="1">
      <c r="C50" s="10"/>
      <c r="AD50" s="14"/>
      <c r="AE50" s="14"/>
      <c r="AF50" s="14"/>
      <c r="AG50" s="14"/>
      <c r="AH50" s="14"/>
      <c r="AI50" s="14"/>
      <c r="AJ50" s="14"/>
      <c r="AK50" s="14"/>
      <c r="AL50" s="14"/>
      <c r="AM50" s="14"/>
      <c r="AN50" s="14"/>
      <c r="AO50" s="14"/>
      <c r="AQ50" s="11"/>
      <c r="BO50" s="45"/>
      <c r="BP50" s="45"/>
      <c r="BQ50" s="45"/>
      <c r="BR50" s="45"/>
      <c r="BS50" s="45"/>
      <c r="BT50" s="45"/>
      <c r="BU50" s="45"/>
      <c r="BV50" s="45"/>
    </row>
    <row r="51" spans="3:74" ht="13.5" customHeight="1">
      <c r="C51" s="10"/>
      <c r="D51" s="45" t="s">
        <v>12</v>
      </c>
      <c r="E51" s="45"/>
      <c r="F51" s="45"/>
      <c r="G51" s="45"/>
      <c r="H51" s="45"/>
      <c r="I51" s="45"/>
      <c r="J51" s="45"/>
      <c r="K51" s="45"/>
      <c r="L51" s="45"/>
      <c r="M51" s="45"/>
      <c r="N51" s="45"/>
      <c r="O51" s="45"/>
      <c r="P51" s="45"/>
      <c r="Q51" s="45"/>
      <c r="R51" s="45"/>
      <c r="S51" s="45"/>
      <c r="T51" s="45"/>
      <c r="U51" s="45"/>
      <c r="V51" s="14"/>
      <c r="W51" s="14"/>
      <c r="X51" s="14"/>
      <c r="Y51" s="14"/>
      <c r="Z51" s="14"/>
      <c r="AA51" s="14"/>
      <c r="AB51" s="14"/>
      <c r="AC51" s="14"/>
      <c r="AD51" s="14"/>
      <c r="AE51" s="14"/>
      <c r="AF51" s="14"/>
      <c r="AG51" s="14"/>
      <c r="AH51" s="14"/>
      <c r="AI51" s="14"/>
      <c r="AJ51" s="14"/>
      <c r="AK51" s="14"/>
      <c r="AL51" s="14"/>
      <c r="AM51" s="14"/>
      <c r="AN51" s="14"/>
      <c r="AO51" s="14"/>
      <c r="AQ51" s="11"/>
      <c r="BO51" s="45"/>
      <c r="BP51" s="45"/>
      <c r="BQ51" s="45"/>
      <c r="BR51" s="45"/>
      <c r="BS51" s="45"/>
      <c r="BT51" s="45"/>
      <c r="BU51" s="45"/>
      <c r="BV51" s="45"/>
    </row>
    <row r="52" spans="3:74" ht="13.5" customHeight="1">
      <c r="C52" s="10"/>
      <c r="D52" s="192" t="s">
        <v>13</v>
      </c>
      <c r="E52" s="192"/>
      <c r="F52" s="192"/>
      <c r="G52" s="192"/>
      <c r="H52" s="192" t="s">
        <v>14</v>
      </c>
      <c r="I52" s="192"/>
      <c r="J52" s="192"/>
      <c r="K52" s="192"/>
      <c r="L52" s="192"/>
      <c r="M52" s="192"/>
      <c r="N52" s="193" t="s">
        <v>15</v>
      </c>
      <c r="O52" s="193"/>
      <c r="P52" s="193"/>
      <c r="Q52" s="193"/>
      <c r="R52" s="193"/>
      <c r="S52" s="193"/>
      <c r="T52" s="193"/>
      <c r="U52" s="193"/>
      <c r="V52" s="193" t="s">
        <v>16</v>
      </c>
      <c r="W52" s="193"/>
      <c r="X52" s="193"/>
      <c r="Y52" s="193"/>
      <c r="Z52" s="193"/>
      <c r="AA52" s="193"/>
      <c r="AB52" s="193"/>
      <c r="AC52" s="193"/>
      <c r="AD52" s="14"/>
      <c r="AE52" s="14"/>
      <c r="AF52" s="14"/>
      <c r="AG52" s="14"/>
      <c r="AH52" s="14"/>
      <c r="AI52" s="14"/>
      <c r="AJ52" s="14"/>
      <c r="AK52" s="14"/>
      <c r="AL52" s="14"/>
      <c r="AM52" s="14"/>
      <c r="AN52" s="14"/>
      <c r="AO52" s="14"/>
      <c r="AQ52" s="11"/>
      <c r="BO52" s="45"/>
      <c r="BP52" s="45"/>
      <c r="BQ52" s="45"/>
      <c r="BR52" s="45"/>
      <c r="BS52" s="45"/>
      <c r="BT52" s="45"/>
      <c r="BU52" s="45"/>
      <c r="BV52" s="45"/>
    </row>
    <row r="53" spans="3:74" ht="13.5" customHeight="1">
      <c r="C53" s="10"/>
      <c r="D53" s="192"/>
      <c r="E53" s="192"/>
      <c r="F53" s="192"/>
      <c r="G53" s="192"/>
      <c r="H53" s="192"/>
      <c r="I53" s="192"/>
      <c r="J53" s="192"/>
      <c r="K53" s="192"/>
      <c r="L53" s="192"/>
      <c r="M53" s="192"/>
      <c r="N53" s="193"/>
      <c r="O53" s="193"/>
      <c r="P53" s="193"/>
      <c r="Q53" s="193"/>
      <c r="R53" s="193"/>
      <c r="S53" s="193"/>
      <c r="T53" s="193"/>
      <c r="U53" s="193"/>
      <c r="V53" s="193"/>
      <c r="W53" s="193"/>
      <c r="X53" s="193"/>
      <c r="Y53" s="193"/>
      <c r="Z53" s="193"/>
      <c r="AA53" s="193"/>
      <c r="AB53" s="193"/>
      <c r="AC53" s="193"/>
      <c r="AD53" s="14"/>
      <c r="AE53" s="14"/>
      <c r="AF53" s="14"/>
      <c r="AG53" s="14"/>
      <c r="AH53" s="14"/>
      <c r="AI53" s="14"/>
      <c r="AJ53" s="14"/>
      <c r="AK53" s="14"/>
      <c r="AL53" s="14"/>
      <c r="AM53" s="14"/>
      <c r="AN53" s="14"/>
      <c r="AO53" s="14"/>
      <c r="AQ53" s="11"/>
      <c r="BO53" s="45"/>
      <c r="BP53" s="45"/>
      <c r="BQ53" s="45"/>
      <c r="BR53" s="45"/>
      <c r="BS53" s="45"/>
      <c r="BT53" s="45"/>
      <c r="BU53" s="45"/>
      <c r="BV53" s="45"/>
    </row>
    <row r="54" spans="3:74" ht="13.5" customHeight="1">
      <c r="C54" s="10"/>
      <c r="D54" s="192"/>
      <c r="E54" s="192"/>
      <c r="F54" s="192"/>
      <c r="G54" s="192"/>
      <c r="H54" s="192"/>
      <c r="I54" s="192"/>
      <c r="J54" s="192"/>
      <c r="K54" s="192"/>
      <c r="L54" s="192"/>
      <c r="M54" s="192"/>
      <c r="N54" s="191" t="s">
        <v>17</v>
      </c>
      <c r="O54" s="191"/>
      <c r="P54" s="191"/>
      <c r="Q54" s="191"/>
      <c r="R54" s="191" t="s">
        <v>18</v>
      </c>
      <c r="S54" s="191"/>
      <c r="T54" s="191"/>
      <c r="U54" s="191"/>
      <c r="V54" s="191" t="s">
        <v>19</v>
      </c>
      <c r="W54" s="191"/>
      <c r="X54" s="191"/>
      <c r="Y54" s="191"/>
      <c r="Z54" s="191" t="s">
        <v>20</v>
      </c>
      <c r="AA54" s="191"/>
      <c r="AB54" s="191"/>
      <c r="AC54" s="191"/>
      <c r="AQ54" s="11"/>
      <c r="BO54" s="45"/>
      <c r="BP54" s="45"/>
      <c r="BQ54" s="45"/>
      <c r="BR54" s="45"/>
      <c r="BS54" s="45"/>
      <c r="BT54" s="45"/>
      <c r="BU54" s="45"/>
      <c r="BV54" s="45"/>
    </row>
    <row r="55" spans="3:74" ht="13.5" customHeight="1">
      <c r="C55" s="10"/>
      <c r="D55" s="197"/>
      <c r="E55" s="198"/>
      <c r="F55" s="198"/>
      <c r="G55" s="199"/>
      <c r="H55" s="200"/>
      <c r="I55" s="201"/>
      <c r="J55" s="201"/>
      <c r="K55" s="201"/>
      <c r="L55" s="201"/>
      <c r="M55" s="202"/>
      <c r="N55" s="194"/>
      <c r="O55" s="195"/>
      <c r="P55" s="195"/>
      <c r="Q55" s="196"/>
      <c r="R55" s="194"/>
      <c r="S55" s="195"/>
      <c r="T55" s="195"/>
      <c r="U55" s="196"/>
      <c r="V55" s="194"/>
      <c r="W55" s="195"/>
      <c r="X55" s="195"/>
      <c r="Y55" s="196"/>
      <c r="Z55" s="194"/>
      <c r="AA55" s="195"/>
      <c r="AB55" s="195"/>
      <c r="AC55" s="196"/>
      <c r="AQ55" s="11"/>
      <c r="BO55" s="45"/>
      <c r="BP55" s="45"/>
      <c r="BQ55" s="45"/>
      <c r="BR55" s="45"/>
      <c r="BS55" s="45"/>
      <c r="BT55" s="45"/>
      <c r="BU55" s="45"/>
      <c r="BV55" s="45"/>
    </row>
    <row r="56" spans="3:74" ht="13.5" customHeight="1">
      <c r="C56" s="10"/>
      <c r="D56" s="67"/>
      <c r="E56" s="68"/>
      <c r="F56" s="68"/>
      <c r="G56" s="69"/>
      <c r="H56" s="70"/>
      <c r="I56" s="71"/>
      <c r="J56" s="71"/>
      <c r="K56" s="71"/>
      <c r="L56" s="71"/>
      <c r="M56" s="72"/>
      <c r="N56" s="64"/>
      <c r="O56" s="65"/>
      <c r="P56" s="65"/>
      <c r="Q56" s="66"/>
      <c r="R56" s="64"/>
      <c r="S56" s="65"/>
      <c r="T56" s="65"/>
      <c r="U56" s="66"/>
      <c r="V56" s="64"/>
      <c r="W56" s="65"/>
      <c r="X56" s="65"/>
      <c r="Y56" s="66"/>
      <c r="Z56" s="64"/>
      <c r="AA56" s="65"/>
      <c r="AB56" s="65"/>
      <c r="AC56" s="66"/>
      <c r="AQ56" s="11"/>
      <c r="BO56" s="45"/>
      <c r="BP56" s="45"/>
      <c r="BQ56" s="45"/>
      <c r="BR56" s="45"/>
      <c r="BS56" s="45"/>
      <c r="BT56" s="45"/>
      <c r="BU56" s="45"/>
      <c r="BV56" s="45"/>
    </row>
    <row r="57" spans="3:74" ht="13.5" customHeight="1">
      <c r="C57" s="10"/>
      <c r="D57" s="67"/>
      <c r="E57" s="68"/>
      <c r="F57" s="68"/>
      <c r="G57" s="69"/>
      <c r="H57" s="70"/>
      <c r="I57" s="71"/>
      <c r="J57" s="71"/>
      <c r="K57" s="71"/>
      <c r="L57" s="71"/>
      <c r="M57" s="72"/>
      <c r="N57" s="64"/>
      <c r="O57" s="65"/>
      <c r="P57" s="65"/>
      <c r="Q57" s="66"/>
      <c r="R57" s="64"/>
      <c r="S57" s="65"/>
      <c r="T57" s="65"/>
      <c r="U57" s="66"/>
      <c r="V57" s="64"/>
      <c r="W57" s="65"/>
      <c r="X57" s="65"/>
      <c r="Y57" s="66"/>
      <c r="Z57" s="64"/>
      <c r="AA57" s="65"/>
      <c r="AB57" s="65"/>
      <c r="AC57" s="66"/>
      <c r="AQ57" s="11"/>
      <c r="BO57" s="45"/>
      <c r="BP57" s="45"/>
      <c r="BQ57" s="45"/>
      <c r="BR57" s="45"/>
      <c r="BS57" s="45"/>
      <c r="BT57" s="45"/>
      <c r="BU57" s="45"/>
      <c r="BV57" s="45"/>
    </row>
    <row r="58" spans="3:74" ht="13.5" customHeight="1">
      <c r="C58" s="10"/>
      <c r="D58" s="67"/>
      <c r="E58" s="68"/>
      <c r="F58" s="68"/>
      <c r="G58" s="69"/>
      <c r="H58" s="70"/>
      <c r="I58" s="71"/>
      <c r="J58" s="71"/>
      <c r="K58" s="71"/>
      <c r="L58" s="71"/>
      <c r="M58" s="72"/>
      <c r="N58" s="64"/>
      <c r="O58" s="65"/>
      <c r="P58" s="65"/>
      <c r="Q58" s="66"/>
      <c r="R58" s="64"/>
      <c r="S58" s="65"/>
      <c r="T58" s="65"/>
      <c r="U58" s="66"/>
      <c r="V58" s="64"/>
      <c r="W58" s="65"/>
      <c r="X58" s="65"/>
      <c r="Y58" s="66"/>
      <c r="Z58" s="64"/>
      <c r="AA58" s="65"/>
      <c r="AB58" s="65"/>
      <c r="AC58" s="66"/>
      <c r="AQ58" s="11"/>
      <c r="BO58" s="45"/>
      <c r="BP58" s="45"/>
      <c r="BQ58" s="45"/>
      <c r="BR58" s="45"/>
      <c r="BS58" s="45"/>
      <c r="BT58" s="45"/>
      <c r="BU58" s="45"/>
      <c r="BV58" s="45"/>
    </row>
    <row r="59" spans="3:74" ht="13.5" customHeight="1">
      <c r="C59" s="10"/>
      <c r="D59" s="67"/>
      <c r="E59" s="68"/>
      <c r="F59" s="68"/>
      <c r="G59" s="69"/>
      <c r="H59" s="70"/>
      <c r="I59" s="71"/>
      <c r="J59" s="71"/>
      <c r="K59" s="71"/>
      <c r="L59" s="71"/>
      <c r="M59" s="72"/>
      <c r="N59" s="64"/>
      <c r="O59" s="65"/>
      <c r="P59" s="65"/>
      <c r="Q59" s="66"/>
      <c r="R59" s="64"/>
      <c r="S59" s="65"/>
      <c r="T59" s="65"/>
      <c r="U59" s="66"/>
      <c r="V59" s="64"/>
      <c r="W59" s="65"/>
      <c r="X59" s="65"/>
      <c r="Y59" s="66"/>
      <c r="Z59" s="64"/>
      <c r="AA59" s="65"/>
      <c r="AB59" s="65"/>
      <c r="AC59" s="66"/>
      <c r="AQ59" s="11"/>
      <c r="AS59" s="21"/>
      <c r="BO59" s="45"/>
      <c r="BP59" s="45"/>
      <c r="BQ59" s="45"/>
      <c r="BR59" s="45"/>
      <c r="BS59" s="45"/>
      <c r="BT59" s="45"/>
      <c r="BU59" s="45"/>
      <c r="BV59" s="45"/>
    </row>
    <row r="60" spans="3:74" ht="13.5" customHeight="1">
      <c r="C60" s="10"/>
      <c r="D60" s="67"/>
      <c r="E60" s="68"/>
      <c r="F60" s="68"/>
      <c r="G60" s="69"/>
      <c r="H60" s="70"/>
      <c r="I60" s="71"/>
      <c r="J60" s="71"/>
      <c r="K60" s="71"/>
      <c r="L60" s="71"/>
      <c r="M60" s="72"/>
      <c r="N60" s="64"/>
      <c r="O60" s="65"/>
      <c r="P60" s="65"/>
      <c r="Q60" s="66"/>
      <c r="R60" s="64"/>
      <c r="S60" s="65"/>
      <c r="T60" s="65"/>
      <c r="U60" s="66"/>
      <c r="V60" s="64"/>
      <c r="W60" s="65"/>
      <c r="X60" s="65"/>
      <c r="Y60" s="66"/>
      <c r="Z60" s="64"/>
      <c r="AA60" s="65"/>
      <c r="AB60" s="65"/>
      <c r="AC60" s="66"/>
      <c r="AD60" s="22"/>
      <c r="AE60" s="22"/>
      <c r="AF60" s="22"/>
      <c r="AG60" s="22"/>
      <c r="AH60" s="22"/>
      <c r="AI60" s="2"/>
      <c r="AJ60" s="22"/>
      <c r="AK60" s="2"/>
      <c r="AL60" s="22"/>
      <c r="AM60" s="22"/>
      <c r="AN60" s="22"/>
      <c r="AO60" s="22"/>
      <c r="AQ60" s="11"/>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row>
    <row r="61" spans="3:74" ht="13.5" customHeight="1">
      <c r="C61" s="10"/>
      <c r="D61" s="67"/>
      <c r="E61" s="68"/>
      <c r="F61" s="68"/>
      <c r="G61" s="69"/>
      <c r="H61" s="70"/>
      <c r="I61" s="71"/>
      <c r="J61" s="71"/>
      <c r="K61" s="71"/>
      <c r="L61" s="71"/>
      <c r="M61" s="72"/>
      <c r="N61" s="64"/>
      <c r="O61" s="65"/>
      <c r="P61" s="65"/>
      <c r="Q61" s="66"/>
      <c r="R61" s="64"/>
      <c r="S61" s="65"/>
      <c r="T61" s="65"/>
      <c r="U61" s="66"/>
      <c r="V61" s="64"/>
      <c r="W61" s="65"/>
      <c r="X61" s="65"/>
      <c r="Y61" s="66"/>
      <c r="Z61" s="64"/>
      <c r="AA61" s="65"/>
      <c r="AB61" s="65"/>
      <c r="AC61" s="66"/>
      <c r="AD61" s="22"/>
      <c r="AE61" s="22"/>
      <c r="AF61" s="22"/>
      <c r="AG61" s="22"/>
      <c r="AH61" s="22"/>
      <c r="AI61" s="2"/>
      <c r="AJ61" s="22"/>
      <c r="AK61" s="2"/>
      <c r="AL61" s="22"/>
      <c r="AM61" s="22"/>
      <c r="AN61" s="22"/>
      <c r="AO61" s="22"/>
      <c r="AQ61" s="11"/>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row>
    <row r="62" spans="3:74" ht="13.5" customHeight="1">
      <c r="C62" s="10"/>
      <c r="D62" s="46"/>
      <c r="E62" s="46"/>
      <c r="F62" s="46"/>
      <c r="G62" s="46"/>
      <c r="H62" s="46"/>
      <c r="I62" s="46"/>
      <c r="J62" s="46"/>
      <c r="K62" s="46"/>
      <c r="L62" s="46"/>
      <c r="M62" s="46"/>
      <c r="N62" s="46"/>
      <c r="O62" s="46"/>
      <c r="P62" s="46"/>
      <c r="Q62" s="46"/>
      <c r="R62" s="46"/>
      <c r="S62" s="46"/>
      <c r="T62" s="46"/>
      <c r="U62" s="46"/>
      <c r="V62" s="46"/>
      <c r="W62" s="46"/>
      <c r="X62" s="46"/>
      <c r="Y62" s="46"/>
      <c r="Z62" s="46"/>
      <c r="AA62" s="46"/>
      <c r="AQ62" s="11"/>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row>
    <row r="63" spans="3:74">
      <c r="C63" s="23"/>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row>
    <row r="64" spans="3:74" ht="14.4" customHeight="1">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row>
    <row r="65" spans="23:74" ht="14.4" customHeight="1">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row>
    <row r="66" spans="23:74" ht="14.4" customHeight="1">
      <c r="W66" s="63"/>
      <c r="AV66" s="45"/>
      <c r="AW66" s="45"/>
      <c r="AX66" s="45"/>
      <c r="AY66" s="45"/>
      <c r="AZ66" s="45"/>
      <c r="BA66" s="45"/>
      <c r="BB66" s="45"/>
      <c r="BC66" s="45"/>
      <c r="BD66" s="45"/>
      <c r="BE66" s="45"/>
      <c r="BF66" s="45"/>
    </row>
    <row r="67" spans="23:74" ht="14.4" customHeight="1">
      <c r="AO67" s="26"/>
    </row>
    <row r="68" spans="23:74" ht="14.4" customHeight="1">
      <c r="AO68" s="27"/>
    </row>
    <row r="69" spans="23:74" ht="14.4" customHeight="1"/>
    <row r="70" spans="23:74" ht="14.4" customHeight="1"/>
    <row r="71" spans="23:74" ht="14.4" customHeight="1"/>
    <row r="72" spans="23:74" ht="14.4" customHeight="1"/>
    <row r="73" spans="23:74" ht="14.4" customHeight="1"/>
    <row r="74" spans="23:74" ht="14.4" customHeight="1"/>
    <row r="75" spans="23:74" ht="14.4" customHeight="1"/>
    <row r="76" spans="23:74" ht="14.4" customHeight="1"/>
    <row r="77" spans="23:74" ht="14.4" customHeight="1"/>
    <row r="78" spans="23:74" ht="14.4" customHeight="1"/>
    <row r="79" spans="23:74" ht="14.4" customHeight="1"/>
    <row r="80" spans="23:74" ht="14.4" customHeight="1"/>
    <row r="81" ht="14.4" customHeight="1"/>
    <row r="82" ht="14.4" customHeight="1"/>
    <row r="83" ht="14.4" customHeight="1"/>
    <row r="84" ht="14.4" customHeight="1"/>
    <row r="85" ht="14.4" customHeight="1"/>
    <row r="86" ht="14.4" customHeight="1"/>
    <row r="87" ht="14.4" customHeight="1"/>
    <row r="88" ht="14.4" customHeight="1"/>
    <row r="89" ht="14.4" customHeight="1"/>
    <row r="90" ht="14.4" customHeight="1"/>
    <row r="91" ht="14.4" customHeight="1"/>
    <row r="92" ht="14.4" customHeight="1"/>
    <row r="93" ht="14.4" customHeight="1"/>
    <row r="94" ht="14.4" customHeight="1"/>
    <row r="95" ht="14.4" customHeight="1"/>
    <row r="96" ht="14.4" customHeight="1"/>
    <row r="97" ht="14.4" customHeight="1"/>
    <row r="98" ht="14.4" customHeight="1"/>
    <row r="99" ht="14.4" customHeight="1"/>
    <row r="100" ht="14.4" customHeight="1"/>
    <row r="101" ht="14.4" customHeight="1"/>
    <row r="102" ht="14.4" customHeight="1"/>
    <row r="103" ht="14.4" customHeight="1"/>
    <row r="104" ht="14.4" customHeight="1"/>
    <row r="105" ht="14.4" customHeight="1"/>
    <row r="106" ht="14.4" customHeight="1"/>
    <row r="107" ht="14.4" customHeight="1"/>
    <row r="108" ht="14.4" customHeight="1"/>
    <row r="109" ht="14.4" customHeight="1"/>
    <row r="110" ht="14.4" customHeight="1"/>
    <row r="111" ht="14.4" customHeight="1"/>
    <row r="112" ht="14.4" customHeight="1"/>
    <row r="113" ht="14.4" customHeight="1"/>
    <row r="114" ht="14.4" customHeight="1"/>
    <row r="115" ht="14.4" customHeight="1"/>
    <row r="116" ht="14.4" customHeight="1"/>
    <row r="117" ht="14.4" customHeight="1"/>
    <row r="118" ht="14.4" customHeight="1"/>
    <row r="119" ht="14.4" customHeight="1"/>
    <row r="120" ht="14.4" customHeight="1"/>
    <row r="121" ht="14.4" customHeight="1"/>
    <row r="122" ht="14.4" customHeight="1"/>
    <row r="123" ht="14.4" customHeight="1"/>
    <row r="124" ht="14.4" customHeight="1"/>
    <row r="125" ht="14.4" customHeight="1"/>
    <row r="126" ht="14.4" customHeight="1"/>
    <row r="127" ht="14.4" customHeight="1"/>
    <row r="128" ht="14.4" customHeight="1"/>
    <row r="129" ht="14.4" customHeight="1"/>
    <row r="130" ht="14.4" customHeight="1"/>
    <row r="131" ht="14.4" customHeight="1"/>
    <row r="132" ht="14.4" customHeight="1"/>
    <row r="133" ht="14.4" customHeight="1"/>
    <row r="134" ht="14.4" customHeight="1"/>
    <row r="135" ht="14.4" customHeight="1"/>
    <row r="136" ht="14.4" customHeight="1"/>
    <row r="137" ht="14.4" customHeight="1"/>
    <row r="138" ht="14.4" customHeight="1"/>
    <row r="139" ht="14.4" customHeight="1"/>
    <row r="140" ht="14.4" customHeight="1"/>
    <row r="141" ht="14.4" customHeight="1"/>
    <row r="142" ht="14.4" customHeight="1"/>
    <row r="143" ht="14.4" customHeight="1"/>
    <row r="144" ht="14.4" customHeight="1"/>
    <row r="145" ht="14.4" customHeight="1"/>
    <row r="146" ht="14.4" customHeight="1"/>
    <row r="147" ht="14.4" customHeight="1"/>
    <row r="148" ht="14.4" customHeight="1"/>
    <row r="149" ht="14.4" customHeight="1"/>
    <row r="150" ht="14.4" customHeight="1"/>
    <row r="151" ht="14.4" customHeight="1"/>
    <row r="152" ht="14.4" customHeight="1"/>
    <row r="153" ht="14.4" customHeight="1"/>
    <row r="154" ht="14.4" customHeight="1"/>
    <row r="155" ht="14.4" customHeight="1"/>
    <row r="156" ht="14.4" customHeight="1"/>
    <row r="157" ht="14.4" customHeight="1"/>
    <row r="158" ht="14.4" customHeight="1"/>
    <row r="159" ht="14.4"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sheetData>
  <mergeCells count="221">
    <mergeCell ref="Z46:AG46"/>
    <mergeCell ref="AH46:AN46"/>
    <mergeCell ref="D41:L42"/>
    <mergeCell ref="M41:S41"/>
    <mergeCell ref="T41:Y42"/>
    <mergeCell ref="Z41:AG41"/>
    <mergeCell ref="AH41:AN41"/>
    <mergeCell ref="M42:S42"/>
    <mergeCell ref="Z42:AG42"/>
    <mergeCell ref="AH42:AN42"/>
    <mergeCell ref="D43:L44"/>
    <mergeCell ref="M43:S43"/>
    <mergeCell ref="T43:Y44"/>
    <mergeCell ref="Z43:AG43"/>
    <mergeCell ref="AH43:AN43"/>
    <mergeCell ref="M44:S44"/>
    <mergeCell ref="Z44:AG44"/>
    <mergeCell ref="AH44:AN44"/>
    <mergeCell ref="D45:L46"/>
    <mergeCell ref="M45:S45"/>
    <mergeCell ref="T45:Y46"/>
    <mergeCell ref="Z45:AG45"/>
    <mergeCell ref="AH45:AN45"/>
    <mergeCell ref="M46:S46"/>
    <mergeCell ref="N54:Q54"/>
    <mergeCell ref="R54:U54"/>
    <mergeCell ref="V54:Y54"/>
    <mergeCell ref="Z54:AC54"/>
    <mergeCell ref="D52:G54"/>
    <mergeCell ref="H52:M54"/>
    <mergeCell ref="N52:U53"/>
    <mergeCell ref="V52:AC53"/>
    <mergeCell ref="Z55:AC55"/>
    <mergeCell ref="D55:G55"/>
    <mergeCell ref="H55:M55"/>
    <mergeCell ref="N55:Q55"/>
    <mergeCell ref="R55:U55"/>
    <mergeCell ref="V55:Y55"/>
    <mergeCell ref="AE2:AG2"/>
    <mergeCell ref="AH2:AQ2"/>
    <mergeCell ref="C3:AD3"/>
    <mergeCell ref="AE3:AG3"/>
    <mergeCell ref="AH3:AQ3"/>
    <mergeCell ref="C4:AD4"/>
    <mergeCell ref="AE4:AQ4"/>
    <mergeCell ref="AH9:AN9"/>
    <mergeCell ref="AV9:BD11"/>
    <mergeCell ref="BG9:BN9"/>
    <mergeCell ref="M10:S10"/>
    <mergeCell ref="Z10:AG10"/>
    <mergeCell ref="AH10:AN10"/>
    <mergeCell ref="BG10:BN10"/>
    <mergeCell ref="D7:L8"/>
    <mergeCell ref="T7:Y8"/>
    <mergeCell ref="D9:L10"/>
    <mergeCell ref="M9:S9"/>
    <mergeCell ref="T9:Y10"/>
    <mergeCell ref="Z9:AG9"/>
    <mergeCell ref="BG12:BN12"/>
    <mergeCell ref="D13:L14"/>
    <mergeCell ref="M13:S13"/>
    <mergeCell ref="T13:Y14"/>
    <mergeCell ref="Z13:AG13"/>
    <mergeCell ref="AH13:AN13"/>
    <mergeCell ref="BG13:BN13"/>
    <mergeCell ref="M14:S14"/>
    <mergeCell ref="Z14:AG14"/>
    <mergeCell ref="AH14:AN14"/>
    <mergeCell ref="D11:L12"/>
    <mergeCell ref="M11:S11"/>
    <mergeCell ref="T11:Y12"/>
    <mergeCell ref="Z11:AG11"/>
    <mergeCell ref="AH11:AN11"/>
    <mergeCell ref="BG11:BN11"/>
    <mergeCell ref="M12:S12"/>
    <mergeCell ref="Z12:AG12"/>
    <mergeCell ref="AH12:AN12"/>
    <mergeCell ref="AV12:BD16"/>
    <mergeCell ref="BG14:BN14"/>
    <mergeCell ref="D15:L16"/>
    <mergeCell ref="M15:S15"/>
    <mergeCell ref="T15:Y16"/>
    <mergeCell ref="Z15:AG15"/>
    <mergeCell ref="AH15:AN15"/>
    <mergeCell ref="BG15:BN15"/>
    <mergeCell ref="M16:S16"/>
    <mergeCell ref="Z16:AG16"/>
    <mergeCell ref="AH16:AN16"/>
    <mergeCell ref="BG16:BN16"/>
    <mergeCell ref="D17:L18"/>
    <mergeCell ref="M17:S17"/>
    <mergeCell ref="T17:Y18"/>
    <mergeCell ref="Z17:AG17"/>
    <mergeCell ref="AH17:AN17"/>
    <mergeCell ref="AV17:BD19"/>
    <mergeCell ref="BG17:BN17"/>
    <mergeCell ref="M18:S18"/>
    <mergeCell ref="Z18:AG18"/>
    <mergeCell ref="AH18:AN18"/>
    <mergeCell ref="BG18:BN18"/>
    <mergeCell ref="D19:L20"/>
    <mergeCell ref="M19:S19"/>
    <mergeCell ref="T19:Y20"/>
    <mergeCell ref="Z19:AG19"/>
    <mergeCell ref="AH19:AN19"/>
    <mergeCell ref="BG19:BN19"/>
    <mergeCell ref="Z26:AG26"/>
    <mergeCell ref="AH26:AN26"/>
    <mergeCell ref="AV26:BD28"/>
    <mergeCell ref="BG26:BN26"/>
    <mergeCell ref="D27:L28"/>
    <mergeCell ref="M27:S27"/>
    <mergeCell ref="M20:S20"/>
    <mergeCell ref="Z20:AG20"/>
    <mergeCell ref="AH20:AN20"/>
    <mergeCell ref="AV20:BD22"/>
    <mergeCell ref="BG20:BN20"/>
    <mergeCell ref="D21:L22"/>
    <mergeCell ref="M21:S21"/>
    <mergeCell ref="T21:Y22"/>
    <mergeCell ref="Z21:AG21"/>
    <mergeCell ref="AH21:AN21"/>
    <mergeCell ref="BG21:BN21"/>
    <mergeCell ref="M22:S22"/>
    <mergeCell ref="Z22:AG22"/>
    <mergeCell ref="AH22:AN22"/>
    <mergeCell ref="BG22:BN22"/>
    <mergeCell ref="BG30:BN30"/>
    <mergeCell ref="BG27:BN27"/>
    <mergeCell ref="M28:S28"/>
    <mergeCell ref="Z28:AG28"/>
    <mergeCell ref="AH28:AN28"/>
    <mergeCell ref="BG28:BN28"/>
    <mergeCell ref="D23:L24"/>
    <mergeCell ref="M23:S23"/>
    <mergeCell ref="T23:Y24"/>
    <mergeCell ref="Z23:AG23"/>
    <mergeCell ref="AH23:AN23"/>
    <mergeCell ref="AV23:BD25"/>
    <mergeCell ref="BG23:BN23"/>
    <mergeCell ref="M24:S24"/>
    <mergeCell ref="Z24:AG24"/>
    <mergeCell ref="AH24:AN24"/>
    <mergeCell ref="BG24:BN24"/>
    <mergeCell ref="D25:L26"/>
    <mergeCell ref="M25:S25"/>
    <mergeCell ref="T25:Y26"/>
    <mergeCell ref="Z25:AG25"/>
    <mergeCell ref="AH25:AN25"/>
    <mergeCell ref="BG25:BN25"/>
    <mergeCell ref="M26:S26"/>
    <mergeCell ref="Z30:AG30"/>
    <mergeCell ref="D29:L30"/>
    <mergeCell ref="M29:S29"/>
    <mergeCell ref="T29:Y30"/>
    <mergeCell ref="Z29:AG29"/>
    <mergeCell ref="AH29:AN29"/>
    <mergeCell ref="T27:Y28"/>
    <mergeCell ref="Z27:AG27"/>
    <mergeCell ref="AH27:AN27"/>
    <mergeCell ref="AH30:AN30"/>
    <mergeCell ref="D33:L34"/>
    <mergeCell ref="M33:S33"/>
    <mergeCell ref="T33:Y34"/>
    <mergeCell ref="Z33:AG33"/>
    <mergeCell ref="AH33:AN33"/>
    <mergeCell ref="BG33:BN33"/>
    <mergeCell ref="M34:S34"/>
    <mergeCell ref="Z34:AG34"/>
    <mergeCell ref="AH34:AN34"/>
    <mergeCell ref="AV32:BD34"/>
    <mergeCell ref="BG34:BN34"/>
    <mergeCell ref="BG32:BN32"/>
    <mergeCell ref="D31:L32"/>
    <mergeCell ref="M31:S31"/>
    <mergeCell ref="T31:Y32"/>
    <mergeCell ref="Z31:AG31"/>
    <mergeCell ref="AH31:AN31"/>
    <mergeCell ref="BG31:BN31"/>
    <mergeCell ref="M32:S32"/>
    <mergeCell ref="Z32:AG32"/>
    <mergeCell ref="AH32:AN32"/>
    <mergeCell ref="AV29:BD31"/>
    <mergeCell ref="BG29:BN29"/>
    <mergeCell ref="M30:S30"/>
    <mergeCell ref="D35:L36"/>
    <mergeCell ref="M35:S35"/>
    <mergeCell ref="T35:Y36"/>
    <mergeCell ref="Z35:AG35"/>
    <mergeCell ref="AH35:AN35"/>
    <mergeCell ref="AV35:BD35"/>
    <mergeCell ref="BG35:BN35"/>
    <mergeCell ref="M36:S36"/>
    <mergeCell ref="Z36:AG36"/>
    <mergeCell ref="AH36:AN36"/>
    <mergeCell ref="AV36:BD36"/>
    <mergeCell ref="BG36:BN36"/>
    <mergeCell ref="BG41:BN41"/>
    <mergeCell ref="BG42:BN42"/>
    <mergeCell ref="M40:S40"/>
    <mergeCell ref="Z40:AG40"/>
    <mergeCell ref="AH40:AN40"/>
    <mergeCell ref="AV40:BD41"/>
    <mergeCell ref="BG40:BN40"/>
    <mergeCell ref="D37:L38"/>
    <mergeCell ref="M37:S37"/>
    <mergeCell ref="T37:Y38"/>
    <mergeCell ref="Z37:AG37"/>
    <mergeCell ref="AH37:AN37"/>
    <mergeCell ref="AV37:BD39"/>
    <mergeCell ref="BG37:BN37"/>
    <mergeCell ref="M38:S38"/>
    <mergeCell ref="Z38:AG38"/>
    <mergeCell ref="AH38:AN38"/>
    <mergeCell ref="BG38:BN38"/>
    <mergeCell ref="D39:L40"/>
    <mergeCell ref="M39:S39"/>
    <mergeCell ref="T39:Y40"/>
    <mergeCell ref="Z39:AG39"/>
    <mergeCell ref="AH39:AN39"/>
    <mergeCell ref="BG39:BN39"/>
  </mergeCells>
  <phoneticPr fontId="2"/>
  <conditionalFormatting sqref="AH2">
    <cfRule type="cellIs" dxfId="0" priority="1" stopIfTrue="1" operator="equal">
      <formula>"J15-00252"</formula>
    </cfRule>
  </conditionalFormatting>
  <printOptions horizontalCentered="1" verticalCentered="1"/>
  <pageMargins left="0" right="0" top="0" bottom="0" header="0" footer="0"/>
  <pageSetup paperSize="9" orientation="portrait" r:id="rId1"/>
  <headerFooter scaleWithDoc="0" alignWithMargins="0">
    <oddHeader>&amp;C&amp;"Calibri"&amp;10&amp;KFF0000 CONFIDENTIAL&amp;1#_x000D_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5A3E8D273C49742A8D37F4EC4673D68" ma:contentTypeVersion="4" ma:contentTypeDescription="新しいドキュメントを作成します。" ma:contentTypeScope="" ma:versionID="4257c6f631775bff8fd20f726230a63a">
  <xsd:schema xmlns:xsd="http://www.w3.org/2001/XMLSchema" xmlns:xs="http://www.w3.org/2001/XMLSchema" xmlns:p="http://schemas.microsoft.com/office/2006/metadata/properties" xmlns:ns2="32943ab1-95e7-4726-ac0d-a438005199a1" targetNamespace="http://schemas.microsoft.com/office/2006/metadata/properties" ma:root="true" ma:fieldsID="4e8867b95d35934c184c2f71820b849c" ns2:_="">
    <xsd:import namespace="32943ab1-95e7-4726-ac0d-a438005199a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943ab1-95e7-4726-ac0d-a438005199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8F0480-04D3-4F02-A067-F2DE9C4864D5}">
  <ds:schemaRefs>
    <ds:schemaRef ds:uri="http://schemas.microsoft.com/sharepoint/v3/contenttype/forms"/>
  </ds:schemaRefs>
</ds:datastoreItem>
</file>

<file path=customXml/itemProps2.xml><?xml version="1.0" encoding="utf-8"?>
<ds:datastoreItem xmlns:ds="http://schemas.openxmlformats.org/officeDocument/2006/customXml" ds:itemID="{2322264C-94A8-4213-B609-8585211F5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943ab1-95e7-4726-ac0d-a43800519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A2FB7A-64C3-45BE-BD35-3EB7181FAE2C}">
  <ds:schemaRefs>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purl.org/dc/elements/1.1/"/>
    <ds:schemaRef ds:uri="http://www.w3.org/XML/1998/namespace"/>
    <ds:schemaRef ds:uri="32943ab1-95e7-4726-ac0d-a438005199a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試験装置・計測器一覧表</vt:lpstr>
      <vt:lpstr>master</vt:lpstr>
      <vt:lpstr>抽出</vt:lpstr>
      <vt:lpstr>試験備品一覧表</vt:lpstr>
      <vt:lpstr>試験装置・計測器一覧表!Print_Area</vt:lpstr>
      <vt:lpstr>試験備品一覧表!Print_Area</vt:lpstr>
    </vt:vector>
  </TitlesOfParts>
  <Manager/>
  <Company>株式会社デンソー</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TOSHIKI NISHIKAWA</dc:creator>
  <cp:keywords/>
  <dc:description/>
  <cp:lastModifiedBy>Aoi Nomura (野村 葵)</cp:lastModifiedBy>
  <cp:revision/>
  <dcterms:created xsi:type="dcterms:W3CDTF">2022-08-30T04:03:07Z</dcterms:created>
  <dcterms:modified xsi:type="dcterms:W3CDTF">2026-06-18T09:11:04Z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0x01010025A3E8D273C49742A8D37F4EC4673D68</vt:lpwstr>
  </property>
  <property fmtid="{D5CDD505-2E9C-101B-9397-08002B2CF9AE}" pid="3" name="MSIP_Label_7ed1414a-99f2-46f9-bbe5-740af8d1b502_Enabled">
    <vt:lpwstr>true</vt:lpwstr>
  </property>
  <property fmtid="{D5CDD505-2E9C-101B-9397-08002B2CF9AE}" pid="4" name="MSIP_Label_7ed1414a-99f2-46f9-bbe5-740af8d1b502_SetDate">
    <vt:lpwstr>2025-01-08T04:05:32Z</vt:lpwstr>
  </property>
  <property fmtid="{D5CDD505-2E9C-101B-9397-08002B2CF9AE}" pid="5" name="MSIP_Label_7ed1414a-99f2-46f9-bbe5-740af8d1b502_Method">
    <vt:lpwstr>Standard</vt:lpwstr>
  </property>
  <property fmtid="{D5CDD505-2E9C-101B-9397-08002B2CF9AE}" pid="6" name="MSIP_Label_7ed1414a-99f2-46f9-bbe5-740af8d1b502_Name">
    <vt:lpwstr>G_MIP_Confidential_Standard</vt:lpwstr>
  </property>
  <property fmtid="{D5CDD505-2E9C-101B-9397-08002B2CF9AE}" pid="7" name="MSIP_Label_7ed1414a-99f2-46f9-bbe5-740af8d1b502_SiteId">
    <vt:lpwstr>69405920-b673-4f7c-8845-e124e9d08af2</vt:lpwstr>
  </property>
  <property fmtid="{D5CDD505-2E9C-101B-9397-08002B2CF9AE}" pid="8" name="MSIP_Label_7ed1414a-99f2-46f9-bbe5-740af8d1b502_ActionId">
    <vt:lpwstr>a420dff0-ed12-4bc7-9a7d-50b6344a8629</vt:lpwstr>
  </property>
  <property fmtid="{D5CDD505-2E9C-101B-9397-08002B2CF9AE}" pid="9" name="MSIP_Label_7ed1414a-99f2-46f9-bbe5-740af8d1b502_ContentBits">
    <vt:lpwstr>1</vt:lpwstr>
  </property>
</Properties>
</file>