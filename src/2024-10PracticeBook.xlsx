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sia\Downloads\"/>
    </mc:Choice>
  </mc:AlternateContent>
  <xr:revisionPtr revIDLastSave="0" documentId="13_ncr:1_{8E92F296-8A3A-43DE-A30D-7DCFF4BF34E4}" xr6:coauthVersionLast="47" xr6:coauthVersionMax="47" xr10:uidLastSave="{00000000-0000-0000-0000-000000000000}"/>
  <bookViews>
    <workbookView xWindow="-108" yWindow="-108" windowWidth="23256" windowHeight="13896" firstSheet="4" activeTab="5" xr2:uid="{02CAA0E0-BC66-438B-AD2B-79D0DB098F21}"/>
  </bookViews>
  <sheets>
    <sheet name="ショートカットキー①" sheetId="1" r:id="rId1"/>
    <sheet name="ショートカットキー②" sheetId="2" r:id="rId2"/>
    <sheet name="ショートカットキー③" sheetId="19" r:id="rId3"/>
    <sheet name="ショートカットキー④" sheetId="20" r:id="rId4"/>
    <sheet name="表示形式" sheetId="3" r:id="rId5"/>
    <sheet name="データの入力規則" sheetId="4" r:id="rId6"/>
    <sheet name="プランリスト" sheetId="5" r:id="rId7"/>
    <sheet name="フラッシュフィル" sheetId="6" r:id="rId8"/>
    <sheet name="SUM" sheetId="10" r:id="rId9"/>
    <sheet name="IF" sheetId="11" r:id="rId10"/>
    <sheet name="VLOOKUP①" sheetId="12" r:id="rId11"/>
    <sheet name="VLOOKUP②" sheetId="16" r:id="rId12"/>
    <sheet name="商品マスタ" sheetId="17" r:id="rId13"/>
    <sheet name="SUMIF" sheetId="13" r:id="rId14"/>
    <sheet name="COUNTIF" sheetId="14" r:id="rId15"/>
    <sheet name="グラフ化" sheetId="7" r:id="rId16"/>
    <sheet name="テーブル化" sheetId="9" r:id="rId17"/>
    <sheet name="商品一覧" sheetId="18" r:id="rId18"/>
    <sheet name="スライサー" sheetId="15" r:id="rId19"/>
  </sheets>
  <definedNames>
    <definedName name="_xlnm._FilterDatabase" localSheetId="0" hidden="1">ショートカットキー①!$A$27:$C$32</definedName>
    <definedName name="スライサー_担当者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0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5" l="1"/>
  <c r="F12" i="15"/>
  <c r="E13" i="9"/>
  <c r="E12" i="9"/>
  <c r="E2" i="9"/>
  <c r="E3" i="9"/>
  <c r="E4" i="9"/>
  <c r="E5" i="9"/>
  <c r="E6" i="9"/>
  <c r="E7" i="9"/>
  <c r="E8" i="9"/>
  <c r="E9" i="9"/>
  <c r="E10" i="9"/>
  <c r="E11" i="9"/>
  <c r="G3" i="7"/>
  <c r="G4" i="7"/>
  <c r="G5" i="7"/>
  <c r="G6" i="7"/>
  <c r="G2" i="7"/>
  <c r="F2" i="7" a="1"/>
  <c r="D2" i="14" a="1"/>
  <c r="F3" i="13"/>
  <c r="F4" i="13"/>
  <c r="F5" i="13"/>
  <c r="F6" i="13"/>
  <c r="E2" i="13" a="1"/>
  <c r="G3" i="16"/>
  <c r="G4" i="16"/>
  <c r="G5" i="16"/>
  <c r="G6" i="16"/>
  <c r="G7" i="16"/>
  <c r="G8" i="16"/>
  <c r="G9" i="16"/>
  <c r="G10" i="16"/>
  <c r="G11" i="16"/>
  <c r="G2" i="16"/>
  <c r="D3" i="16"/>
  <c r="E3" i="16"/>
  <c r="D4" i="16"/>
  <c r="E4" i="16"/>
  <c r="D5" i="16"/>
  <c r="E5" i="16"/>
  <c r="D6" i="16"/>
  <c r="E6" i="16"/>
  <c r="D7" i="16"/>
  <c r="E7" i="16"/>
  <c r="D8" i="16"/>
  <c r="E8" i="16"/>
  <c r="D9" i="16"/>
  <c r="E9" i="16"/>
  <c r="D10" i="16"/>
  <c r="E10" i="16"/>
  <c r="D11" i="16"/>
  <c r="E11" i="16"/>
  <c r="C3" i="16"/>
  <c r="C4" i="16"/>
  <c r="C5" i="16"/>
  <c r="C6" i="16"/>
  <c r="C7" i="16"/>
  <c r="C8" i="16"/>
  <c r="C9" i="16"/>
  <c r="C10" i="16"/>
  <c r="C11" i="16"/>
  <c r="E2" i="16"/>
  <c r="D2" i="16"/>
  <c r="C2" i="16"/>
  <c r="G2" i="12"/>
  <c r="F2" i="12"/>
  <c r="D5" i="11"/>
  <c r="D2" i="11"/>
  <c r="D10" i="11"/>
  <c r="D7" i="11"/>
  <c r="D3" i="11"/>
  <c r="D4" i="11"/>
  <c r="D6" i="11"/>
  <c r="D8" i="11"/>
  <c r="D9" i="11"/>
  <c r="D11" i="11"/>
  <c r="D12" i="11"/>
  <c r="D13" i="11"/>
  <c r="F4" i="11"/>
  <c r="D2" i="10"/>
  <c r="E3" i="14" l="1"/>
  <c r="E4" i="14"/>
  <c r="E5" i="14"/>
  <c r="E6" i="14"/>
  <c r="E2" i="14"/>
  <c r="F2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<sst xmlns="http://schemas.openxmlformats.org/spreadsheetml/2006/main" count="450" uniqueCount="223">
  <si>
    <t>日付</t>
    <rPh sb="0" eb="2">
      <t>ヒヅケ</t>
    </rPh>
    <phoneticPr fontId="2"/>
  </si>
  <si>
    <t>氏名</t>
    <rPh sb="0" eb="2">
      <t>シメイ</t>
    </rPh>
    <phoneticPr fontId="2"/>
  </si>
  <si>
    <t>契約プラン</t>
    <rPh sb="0" eb="2">
      <t>ケイヤク</t>
    </rPh>
    <phoneticPr fontId="2"/>
  </si>
  <si>
    <t>田中太郎</t>
    <rPh sb="0" eb="2">
      <t>タナカ</t>
    </rPh>
    <rPh sb="2" eb="4">
      <t>タロウ</t>
    </rPh>
    <phoneticPr fontId="2"/>
  </si>
  <si>
    <t>鈴木次郎</t>
    <rPh sb="0" eb="2">
      <t>スズキ</t>
    </rPh>
    <rPh sb="2" eb="4">
      <t>ジロウ</t>
    </rPh>
    <phoneticPr fontId="2"/>
  </si>
  <si>
    <t>松本三郎</t>
    <rPh sb="0" eb="2">
      <t>マツモト</t>
    </rPh>
    <rPh sb="2" eb="4">
      <t>サブロウ</t>
    </rPh>
    <phoneticPr fontId="2"/>
  </si>
  <si>
    <t>佐藤四郎</t>
    <rPh sb="0" eb="2">
      <t>サトウ</t>
    </rPh>
    <rPh sb="2" eb="4">
      <t>シロウ</t>
    </rPh>
    <phoneticPr fontId="2"/>
  </si>
  <si>
    <t>兼本五郎</t>
    <rPh sb="0" eb="2">
      <t>カネモト</t>
    </rPh>
    <rPh sb="2" eb="4">
      <t>ゴロウ</t>
    </rPh>
    <phoneticPr fontId="2"/>
  </si>
  <si>
    <t>プランA</t>
    <phoneticPr fontId="2"/>
  </si>
  <si>
    <t>プランB</t>
    <phoneticPr fontId="2"/>
  </si>
  <si>
    <t>プランC</t>
    <phoneticPr fontId="2"/>
  </si>
  <si>
    <t>プランD</t>
    <phoneticPr fontId="2"/>
  </si>
  <si>
    <t>プランE</t>
    <phoneticPr fontId="2"/>
  </si>
  <si>
    <t>①Ctrl + A（全選択)、Ctrl + C（コピー）、Ctrl + V（ペースト）</t>
    <rPh sb="10" eb="13">
      <t>ゼンセンタク</t>
    </rPh>
    <phoneticPr fontId="2"/>
  </si>
  <si>
    <t>②Ctrl +D（上をコピー)</t>
    <rPh sb="9" eb="10">
      <t>ウエ</t>
    </rPh>
    <phoneticPr fontId="2"/>
  </si>
  <si>
    <t>③Ctrl + F（検索）、Ctrl　＋H（置換）</t>
    <rPh sb="10" eb="12">
      <t>ケンサク</t>
    </rPh>
    <rPh sb="22" eb="24">
      <t>チカン</t>
    </rPh>
    <phoneticPr fontId="2"/>
  </si>
  <si>
    <t>④Ctrl + Shift + L（フィルター）</t>
    <phoneticPr fontId="2"/>
  </si>
  <si>
    <t>⑤Ctrl + 1(表示形式）</t>
    <rPh sb="10" eb="12">
      <t>ヒョウジ</t>
    </rPh>
    <rPh sb="12" eb="14">
      <t>ケイシキ</t>
    </rPh>
    <phoneticPr fontId="2"/>
  </si>
  <si>
    <t>売上</t>
    <rPh sb="0" eb="2">
      <t>ウリアゲ</t>
    </rPh>
    <phoneticPr fontId="2"/>
  </si>
  <si>
    <t>商品名</t>
    <rPh sb="0" eb="3">
      <t>ショウヒンメイ</t>
    </rPh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</si>
  <si>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</si>
  <si>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</si>
  <si>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</si>
  <si>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</si>
  <si>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</si>
  <si>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⑦Ctrl ＋G（ジャンプ）、Ctrl + Enter（選択セルへ一括入力）</t>
    <rPh sb="28" eb="30">
      <t>センタク</t>
    </rPh>
    <rPh sb="33" eb="35">
      <t>イッカツ</t>
    </rPh>
    <rPh sb="35" eb="37">
      <t>ニュウリョク</t>
    </rPh>
    <phoneticPr fontId="2"/>
  </si>
  <si>
    <t>⑧Win + Shift + S（部分スクショ）</t>
    <rPh sb="17" eb="19">
      <t>ブブン</t>
    </rPh>
    <phoneticPr fontId="2"/>
  </si>
  <si>
    <t>⑨Win + ←（画面半分表示）</t>
    <rPh sb="9" eb="11">
      <t>ガメン</t>
    </rPh>
    <rPh sb="11" eb="13">
      <t>ハンブン</t>
    </rPh>
    <rPh sb="13" eb="15">
      <t>ヒョウジ</t>
    </rPh>
    <phoneticPr fontId="2"/>
  </si>
  <si>
    <t>和暦表示と桁区切り表示</t>
    <rPh sb="0" eb="4">
      <t>ワレキヒョウジ</t>
    </rPh>
    <rPh sb="5" eb="8">
      <t>ケタクギ</t>
    </rPh>
    <rPh sb="9" eb="11">
      <t>ヒョウジ</t>
    </rPh>
    <phoneticPr fontId="2"/>
  </si>
  <si>
    <t>メール</t>
    <phoneticPr fontId="2"/>
  </si>
  <si>
    <t>@より前</t>
    <rPh sb="3" eb="4">
      <t>マエ</t>
    </rPh>
    <phoneticPr fontId="2"/>
  </si>
  <si>
    <t>@あと</t>
    <phoneticPr fontId="2"/>
  </si>
  <si>
    <t>tempaddress007@example.com</t>
  </si>
  <si>
    <t>mailtest008@example.com</t>
  </si>
  <si>
    <t>userdemo009@example.com</t>
  </si>
  <si>
    <t>trialuser010@example.com</t>
  </si>
  <si>
    <t>newtest011@example.com</t>
  </si>
  <si>
    <t>temporarymail012@example.com</t>
  </si>
  <si>
    <t>mockemail013@example.com</t>
  </si>
  <si>
    <t>sampleaccount014@example.com</t>
  </si>
  <si>
    <t>testmail015@example.com</t>
  </si>
  <si>
    <t>randomemail016@example.com</t>
  </si>
  <si>
    <t>exampleuser017@example.com</t>
  </si>
  <si>
    <t>fakemail018@example.com</t>
  </si>
  <si>
    <t>demouser019@example.com</t>
  </si>
  <si>
    <t>tempuser020@example.com</t>
  </si>
  <si>
    <t>sampleuser002@example.com</t>
  </si>
  <si>
    <t>sampleuser003@example.com</t>
  </si>
  <si>
    <t>sampleuser004@example.com</t>
  </si>
  <si>
    <t>sampleuser005@example.com</t>
  </si>
  <si>
    <t>sampleuser006@example.com</t>
  </si>
  <si>
    <t>合計</t>
    <rPh sb="0" eb="2">
      <t>ゴウケイ</t>
    </rPh>
    <phoneticPr fontId="2"/>
  </si>
  <si>
    <t>目標</t>
  </si>
  <si>
    <t>実績</t>
  </si>
  <si>
    <t>達成状況</t>
    <rPh sb="0" eb="2">
      <t>タッセイ</t>
    </rPh>
    <rPh sb="2" eb="4">
      <t>ジョウキョウ</t>
    </rPh>
    <phoneticPr fontId="2"/>
  </si>
  <si>
    <t>月</t>
  </si>
  <si>
    <t>売上日</t>
  </si>
  <si>
    <t>売上日</t>
    <rPh sb="0" eb="3">
      <t>ウリアゲビ</t>
    </rPh>
    <phoneticPr fontId="2"/>
  </si>
  <si>
    <t>社員ID</t>
    <rPh sb="0" eb="2">
      <t>シャイン</t>
    </rPh>
    <phoneticPr fontId="2"/>
  </si>
  <si>
    <t>部署</t>
    <rPh sb="0" eb="2">
      <t>ブショ</t>
    </rPh>
    <phoneticPr fontId="2"/>
  </si>
  <si>
    <t>総務部</t>
    <rPh sb="0" eb="3">
      <t>ソウムブ</t>
    </rPh>
    <phoneticPr fontId="2"/>
  </si>
  <si>
    <t>経理部</t>
    <rPh sb="0" eb="3">
      <t>ケイリブ</t>
    </rPh>
    <phoneticPr fontId="2"/>
  </si>
  <si>
    <t>IT部</t>
    <rPh sb="2" eb="3">
      <t>ブ</t>
    </rPh>
    <phoneticPr fontId="2"/>
  </si>
  <si>
    <t>法務部</t>
    <rPh sb="0" eb="3">
      <t>ホウムブ</t>
    </rPh>
    <phoneticPr fontId="2"/>
  </si>
  <si>
    <t>営業部</t>
    <rPh sb="0" eb="3">
      <t>エイギョウブ</t>
    </rPh>
    <phoneticPr fontId="2"/>
  </si>
  <si>
    <t>S0001</t>
    <phoneticPr fontId="2"/>
  </si>
  <si>
    <t>S0002</t>
  </si>
  <si>
    <t>S0003</t>
  </si>
  <si>
    <t>S0004</t>
  </si>
  <si>
    <t>S0005</t>
  </si>
  <si>
    <t>商品ID</t>
  </si>
  <si>
    <t>商品ID</t>
    <rPh sb="0" eb="2">
      <t>ショウヒン</t>
    </rPh>
    <phoneticPr fontId="2"/>
  </si>
  <si>
    <t>個数</t>
  </si>
  <si>
    <t>個数</t>
    <rPh sb="0" eb="2">
      <t>コスウ</t>
    </rPh>
    <phoneticPr fontId="2"/>
  </si>
  <si>
    <t>売上</t>
  </si>
  <si>
    <t>SH001</t>
  </si>
  <si>
    <t>SH004</t>
  </si>
  <si>
    <t>SH003</t>
  </si>
  <si>
    <t>SH005</t>
  </si>
  <si>
    <t>SH002</t>
  </si>
  <si>
    <t>商品カテゴリー</t>
  </si>
  <si>
    <t>商品名</t>
  </si>
  <si>
    <t>単価</t>
  </si>
  <si>
    <t>ファッション</t>
  </si>
  <si>
    <t>Tシャツ</t>
  </si>
  <si>
    <t>家電</t>
  </si>
  <si>
    <t>ヘッドホン</t>
  </si>
  <si>
    <t>食品</t>
  </si>
  <si>
    <t>チョコレート</t>
  </si>
  <si>
    <t>文房具</t>
  </si>
  <si>
    <t>ボールペン</t>
  </si>
  <si>
    <t>スポーツ用品</t>
  </si>
  <si>
    <t>ランニングシューズ</t>
  </si>
  <si>
    <t>カテゴリー</t>
  </si>
  <si>
    <t>カテゴリー</t>
    <phoneticPr fontId="2"/>
  </si>
  <si>
    <t>単価</t>
    <rPh sb="0" eb="2">
      <t>タンカ</t>
    </rPh>
    <phoneticPr fontId="2"/>
  </si>
  <si>
    <t>商品名</t>
    <rPh sb="0" eb="3">
      <t>ショウヒンメイ</t>
    </rPh>
    <phoneticPr fontId="2"/>
  </si>
  <si>
    <t>売上合計</t>
    <rPh sb="0" eb="2">
      <t>ウリアゲ</t>
    </rPh>
    <rPh sb="2" eb="4">
      <t>ゴウケイ</t>
    </rPh>
    <phoneticPr fontId="2"/>
  </si>
  <si>
    <t>個数</t>
    <rPh sb="0" eb="2">
      <t>コスウ</t>
    </rPh>
    <phoneticPr fontId="2"/>
  </si>
  <si>
    <t>販売個数</t>
    <rPh sb="0" eb="4">
      <t>ハンバイコスウ</t>
    </rPh>
    <phoneticPr fontId="2"/>
  </si>
  <si>
    <t>⑩Ctrl + PageUP（またはPageDown)</t>
    <phoneticPr fontId="2"/>
  </si>
  <si>
    <t>日付</t>
  </si>
  <si>
    <t>氏名</t>
  </si>
  <si>
    <t>契約プラン</t>
  </si>
  <si>
    <t>田中太郎</t>
  </si>
  <si>
    <t>プランA</t>
  </si>
  <si>
    <t>プランB</t>
  </si>
  <si>
    <t>松本三郎</t>
  </si>
  <si>
    <t>プランC</t>
  </si>
  <si>
    <t>佐藤四郎</t>
  </si>
  <si>
    <t>プランD</t>
  </si>
  <si>
    <t>兼本五郎</t>
  </si>
  <si>
    <t>プランE</t>
  </si>
  <si>
    <t>⑫Ctrl + Shift + マウススクロール（横スクロール）</t>
    <rPh sb="25" eb="26">
      <t>ヨコ</t>
    </rPh>
    <phoneticPr fontId="2"/>
  </si>
  <si>
    <t>列1</t>
    <rPh sb="0" eb="1">
      <t>レツ</t>
    </rPh>
    <phoneticPr fontId="2"/>
  </si>
  <si>
    <t>列2</t>
    <rPh sb="0" eb="1">
      <t>レツ</t>
    </rPh>
    <phoneticPr fontId="2"/>
  </si>
  <si>
    <t>列3</t>
    <rPh sb="0" eb="1">
      <t>レツ</t>
    </rPh>
    <phoneticPr fontId="2"/>
  </si>
  <si>
    <t>列4</t>
    <rPh sb="0" eb="1">
      <t>レツ</t>
    </rPh>
    <phoneticPr fontId="2"/>
  </si>
  <si>
    <t>列5</t>
    <rPh sb="0" eb="1">
      <t>レツ</t>
    </rPh>
    <phoneticPr fontId="2"/>
  </si>
  <si>
    <t>列6</t>
    <rPh sb="0" eb="1">
      <t>レツ</t>
    </rPh>
    <phoneticPr fontId="2"/>
  </si>
  <si>
    <t>列7</t>
    <rPh sb="0" eb="1">
      <t>レツ</t>
    </rPh>
    <phoneticPr fontId="2"/>
  </si>
  <si>
    <t>列8</t>
    <rPh sb="0" eb="1">
      <t>レツ</t>
    </rPh>
    <phoneticPr fontId="2"/>
  </si>
  <si>
    <t>列9</t>
    <rPh sb="0" eb="1">
      <t>レツ</t>
    </rPh>
    <phoneticPr fontId="2"/>
  </si>
  <si>
    <t>列10</t>
    <rPh sb="0" eb="1">
      <t>レツ</t>
    </rPh>
    <phoneticPr fontId="2"/>
  </si>
  <si>
    <t>列11</t>
    <rPh sb="0" eb="1">
      <t>レツ</t>
    </rPh>
    <phoneticPr fontId="2"/>
  </si>
  <si>
    <t>列12</t>
    <rPh sb="0" eb="1">
      <t>レツ</t>
    </rPh>
    <phoneticPr fontId="2"/>
  </si>
  <si>
    <t>列13</t>
    <rPh sb="0" eb="1">
      <t>レツ</t>
    </rPh>
    <phoneticPr fontId="2"/>
  </si>
  <si>
    <t>列14</t>
    <rPh sb="0" eb="1">
      <t>レツ</t>
    </rPh>
    <phoneticPr fontId="2"/>
  </si>
  <si>
    <t>列15</t>
    <rPh sb="0" eb="1">
      <t>レツ</t>
    </rPh>
    <phoneticPr fontId="2"/>
  </si>
  <si>
    <t>列16</t>
    <rPh sb="0" eb="1">
      <t>レツ</t>
    </rPh>
    <phoneticPr fontId="2"/>
  </si>
  <si>
    <t>列17</t>
    <rPh sb="0" eb="1">
      <t>レツ</t>
    </rPh>
    <phoneticPr fontId="2"/>
  </si>
  <si>
    <t>列18</t>
    <rPh sb="0" eb="1">
      <t>レツ</t>
    </rPh>
    <phoneticPr fontId="2"/>
  </si>
  <si>
    <t>列19</t>
    <rPh sb="0" eb="1">
      <t>レツ</t>
    </rPh>
    <phoneticPr fontId="2"/>
  </si>
  <si>
    <t>列20</t>
    <rPh sb="0" eb="1">
      <t>レツ</t>
    </rPh>
    <phoneticPr fontId="2"/>
  </si>
  <si>
    <t>列21</t>
    <rPh sb="0" eb="1">
      <t>レツ</t>
    </rPh>
    <phoneticPr fontId="2"/>
  </si>
  <si>
    <t>列22</t>
    <rPh sb="0" eb="1">
      <t>レツ</t>
    </rPh>
    <phoneticPr fontId="2"/>
  </si>
  <si>
    <t>列23</t>
    <rPh sb="0" eb="1">
      <t>レツ</t>
    </rPh>
    <phoneticPr fontId="2"/>
  </si>
  <si>
    <t>列24</t>
    <rPh sb="0" eb="1">
      <t>レツ</t>
    </rPh>
    <phoneticPr fontId="2"/>
  </si>
  <si>
    <t>列25</t>
    <rPh sb="0" eb="1">
      <t>レツ</t>
    </rPh>
    <phoneticPr fontId="2"/>
  </si>
  <si>
    <t>列26</t>
    <rPh sb="0" eb="1">
      <t>レツ</t>
    </rPh>
    <phoneticPr fontId="2"/>
  </si>
  <si>
    <t>列27</t>
    <rPh sb="0" eb="1">
      <t>レツ</t>
    </rPh>
    <phoneticPr fontId="2"/>
  </si>
  <si>
    <t>列28</t>
    <rPh sb="0" eb="1">
      <t>レツ</t>
    </rPh>
    <phoneticPr fontId="2"/>
  </si>
  <si>
    <t>列29</t>
    <rPh sb="0" eb="1">
      <t>レツ</t>
    </rPh>
    <phoneticPr fontId="2"/>
  </si>
  <si>
    <t>列30</t>
    <rPh sb="0" eb="1">
      <t>レツ</t>
    </rPh>
    <phoneticPr fontId="2"/>
  </si>
  <si>
    <t>列31</t>
    <rPh sb="0" eb="1">
      <t>レツ</t>
    </rPh>
    <phoneticPr fontId="2"/>
  </si>
  <si>
    <t>列32</t>
    <rPh sb="0" eb="1">
      <t>レツ</t>
    </rPh>
    <phoneticPr fontId="2"/>
  </si>
  <si>
    <t>列33</t>
    <rPh sb="0" eb="1">
      <t>レツ</t>
    </rPh>
    <phoneticPr fontId="2"/>
  </si>
  <si>
    <t>列34</t>
    <rPh sb="0" eb="1">
      <t>レツ</t>
    </rPh>
    <phoneticPr fontId="2"/>
  </si>
  <si>
    <t>列35</t>
    <rPh sb="0" eb="1">
      <t>レツ</t>
    </rPh>
    <phoneticPr fontId="2"/>
  </si>
  <si>
    <t>列36</t>
    <rPh sb="0" eb="1">
      <t>レツ</t>
    </rPh>
    <phoneticPr fontId="2"/>
  </si>
  <si>
    <t>列37</t>
    <rPh sb="0" eb="1">
      <t>レツ</t>
    </rPh>
    <phoneticPr fontId="2"/>
  </si>
  <si>
    <t>列38</t>
    <rPh sb="0" eb="1">
      <t>レツ</t>
    </rPh>
    <phoneticPr fontId="2"/>
  </si>
  <si>
    <t>列39</t>
    <rPh sb="0" eb="1">
      <t>レツ</t>
    </rPh>
    <phoneticPr fontId="2"/>
  </si>
  <si>
    <t>列40</t>
    <rPh sb="0" eb="1">
      <t>レツ</t>
    </rPh>
    <phoneticPr fontId="2"/>
  </si>
  <si>
    <t>列41</t>
    <rPh sb="0" eb="1">
      <t>レツ</t>
    </rPh>
    <phoneticPr fontId="2"/>
  </si>
  <si>
    <t>列42</t>
    <rPh sb="0" eb="1">
      <t>レツ</t>
    </rPh>
    <phoneticPr fontId="2"/>
  </si>
  <si>
    <t>列43</t>
    <rPh sb="0" eb="1">
      <t>レツ</t>
    </rPh>
    <phoneticPr fontId="2"/>
  </si>
  <si>
    <t>列44</t>
    <rPh sb="0" eb="1">
      <t>レツ</t>
    </rPh>
    <phoneticPr fontId="2"/>
  </si>
  <si>
    <t>列45</t>
    <rPh sb="0" eb="1">
      <t>レツ</t>
    </rPh>
    <phoneticPr fontId="2"/>
  </si>
  <si>
    <t>列46</t>
    <rPh sb="0" eb="1">
      <t>レツ</t>
    </rPh>
    <phoneticPr fontId="2"/>
  </si>
  <si>
    <t>列47</t>
    <rPh sb="0" eb="1">
      <t>レツ</t>
    </rPh>
    <phoneticPr fontId="2"/>
  </si>
  <si>
    <t>列48</t>
    <rPh sb="0" eb="1">
      <t>レツ</t>
    </rPh>
    <phoneticPr fontId="2"/>
  </si>
  <si>
    <t>列49</t>
    <rPh sb="0" eb="1">
      <t>レツ</t>
    </rPh>
    <phoneticPr fontId="2"/>
  </si>
  <si>
    <t>列50</t>
    <rPh sb="0" eb="1">
      <t>レツ</t>
    </rPh>
    <phoneticPr fontId="2"/>
  </si>
  <si>
    <t>列51</t>
    <rPh sb="0" eb="1">
      <t>レツ</t>
    </rPh>
    <phoneticPr fontId="2"/>
  </si>
  <si>
    <t>列52</t>
    <rPh sb="0" eb="1">
      <t>レツ</t>
    </rPh>
    <phoneticPr fontId="2"/>
  </si>
  <si>
    <t>列53</t>
    <rPh sb="0" eb="1">
      <t>レツ</t>
    </rPh>
    <phoneticPr fontId="2"/>
  </si>
  <si>
    <t>列54</t>
    <rPh sb="0" eb="1">
      <t>レツ</t>
    </rPh>
    <phoneticPr fontId="2"/>
  </si>
  <si>
    <t>列55</t>
    <rPh sb="0" eb="1">
      <t>レツ</t>
    </rPh>
    <phoneticPr fontId="2"/>
  </si>
  <si>
    <t>列56</t>
    <rPh sb="0" eb="1">
      <t>レツ</t>
    </rPh>
    <phoneticPr fontId="2"/>
  </si>
  <si>
    <t>列57</t>
    <rPh sb="0" eb="1">
      <t>レツ</t>
    </rPh>
    <phoneticPr fontId="2"/>
  </si>
  <si>
    <t>列58</t>
    <rPh sb="0" eb="1">
      <t>レツ</t>
    </rPh>
    <phoneticPr fontId="2"/>
  </si>
  <si>
    <t>列59</t>
    <rPh sb="0" eb="1">
      <t>レツ</t>
    </rPh>
    <phoneticPr fontId="2"/>
  </si>
  <si>
    <t>列60</t>
    <rPh sb="0" eb="1">
      <t>レツ</t>
    </rPh>
    <phoneticPr fontId="2"/>
  </si>
  <si>
    <t>列61</t>
    <rPh sb="0" eb="1">
      <t>レツ</t>
    </rPh>
    <phoneticPr fontId="2"/>
  </si>
  <si>
    <t>列62</t>
    <rPh sb="0" eb="1">
      <t>レツ</t>
    </rPh>
    <phoneticPr fontId="2"/>
  </si>
  <si>
    <t>列63</t>
    <rPh sb="0" eb="1">
      <t>レツ</t>
    </rPh>
    <phoneticPr fontId="2"/>
  </si>
  <si>
    <t>列64</t>
    <rPh sb="0" eb="1">
      <t>レツ</t>
    </rPh>
    <phoneticPr fontId="2"/>
  </si>
  <si>
    <t>列65</t>
    <rPh sb="0" eb="1">
      <t>レツ</t>
    </rPh>
    <phoneticPr fontId="2"/>
  </si>
  <si>
    <t>列66</t>
    <rPh sb="0" eb="1">
      <t>レツ</t>
    </rPh>
    <phoneticPr fontId="2"/>
  </si>
  <si>
    <t>列67</t>
    <rPh sb="0" eb="1">
      <t>レツ</t>
    </rPh>
    <phoneticPr fontId="2"/>
  </si>
  <si>
    <t>⑬Alt → H → O→I</t>
    <phoneticPr fontId="2"/>
  </si>
  <si>
    <t>⑥Shift + マウス（セル範囲移動）</t>
    <rPh sb="15" eb="17">
      <t>ハンイ</t>
    </rPh>
    <rPh sb="17" eb="19">
      <t>イドウ</t>
    </rPh>
    <phoneticPr fontId="2"/>
  </si>
  <si>
    <t>田中一郎</t>
    <phoneticPr fontId="2"/>
  </si>
  <si>
    <t>松本五郎</t>
    <phoneticPr fontId="2"/>
  </si>
  <si>
    <t>　</t>
    <phoneticPr fontId="2"/>
  </si>
  <si>
    <t>-</t>
    <phoneticPr fontId="2"/>
  </si>
  <si>
    <t>鈴木次郎</t>
    <phoneticPr fontId="2"/>
  </si>
  <si>
    <t>⑪Ctrl + - / Ctrl Shift + +（行列削除、行列追加）</t>
    <rPh sb="27" eb="29">
      <t>ギョウレツ</t>
    </rPh>
    <rPh sb="29" eb="31">
      <t>サクジョ</t>
    </rPh>
    <rPh sb="32" eb="34">
      <t>ギョウレツ</t>
    </rPh>
    <rPh sb="34" eb="36">
      <t>ツイカ</t>
    </rPh>
    <phoneticPr fontId="2"/>
  </si>
  <si>
    <t>sampleuser001@example.com</t>
    <phoneticPr fontId="2"/>
  </si>
  <si>
    <t>sampleuser001</t>
    <phoneticPr fontId="2"/>
  </si>
  <si>
    <t>sampleuser002</t>
  </si>
  <si>
    <t>sampleuser003</t>
  </si>
  <si>
    <t>sampleuser004</t>
  </si>
  <si>
    <t>sampleuser005</t>
  </si>
  <si>
    <t>sampleuser006</t>
  </si>
  <si>
    <t>tempaddress007</t>
  </si>
  <si>
    <t>mailtest008</t>
  </si>
  <si>
    <t>userdemo009</t>
  </si>
  <si>
    <t>trialuser010</t>
  </si>
  <si>
    <t>newtest011</t>
  </si>
  <si>
    <t>temporarymail012</t>
  </si>
  <si>
    <t>mockemail013</t>
  </si>
  <si>
    <t>sampleaccount014</t>
  </si>
  <si>
    <t>example.com</t>
  </si>
  <si>
    <t>testmail015</t>
  </si>
  <si>
    <t>randomemail016</t>
  </si>
  <si>
    <t>exampleuser017</t>
  </si>
  <si>
    <t>fakemail018</t>
  </si>
  <si>
    <t>demouser019</t>
  </si>
  <si>
    <t>tempuser020</t>
  </si>
  <si>
    <t>IF(式, 式が正しい場合, 式が間違っている場合)</t>
    <phoneticPr fontId="2"/>
  </si>
  <si>
    <t>Tシャツ</t>
    <phoneticPr fontId="2"/>
  </si>
  <si>
    <t>商品名</t>
    <phoneticPr fontId="2"/>
  </si>
  <si>
    <t>税込み</t>
    <rPh sb="0" eb="2">
      <t>ゼイコ</t>
    </rPh>
    <phoneticPr fontId="2"/>
  </si>
  <si>
    <t>消しゴム</t>
    <rPh sb="0" eb="1">
      <t>ケ</t>
    </rPh>
    <phoneticPr fontId="2"/>
  </si>
  <si>
    <t>ラインレシーバー</t>
    <phoneticPr fontId="2"/>
  </si>
  <si>
    <t>担当者</t>
    <rPh sb="0" eb="3">
      <t>タントウシャ</t>
    </rPh>
    <phoneticPr fontId="2"/>
  </si>
  <si>
    <t>田中</t>
    <rPh sb="0" eb="2">
      <t>タナカ</t>
    </rPh>
    <phoneticPr fontId="2"/>
  </si>
  <si>
    <t>鈴木</t>
    <rPh sb="0" eb="2">
      <t>スズキ</t>
    </rPh>
    <phoneticPr fontId="2"/>
  </si>
  <si>
    <t>佐藤</t>
    <rPh sb="0" eb="2">
      <t>サトウ</t>
    </rPh>
    <phoneticPr fontId="2"/>
  </si>
  <si>
    <t>集計</t>
  </si>
  <si>
    <t>チョコレート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</si>
</sst>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9" formatCode="&quot;¥&quot;#,##0;[Red]&quot;¥&quot;#,##0"/>
    <numFmt numFmtId="181" formatCode="[$-F800]dddd\,\ mmmm\ dd\,\ yyyy"/>
    <numFmt numFmtId="182" formatCode="ge&quot;年&quot;m&quot;月&quot;d&quot;日&quot;\(aaa\)"/>
    <numFmt numFmtId="183" formatCode="#,##0&quot;円&quot;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FFFF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156082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56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14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quotePrefix="1" applyFont="1" applyFill="1">
      <alignment vertical="center"/>
    </xf>
    <xf numFmtId="0" fontId="1" fillId="2" borderId="1" xfId="0" applyFont="1" applyFill="1" applyBorder="1">
      <alignment vertical="center"/>
    </xf>
    <xf numFmtId="0" fontId="1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3" fillId="4" borderId="0" xfId="0" applyFont="1" applyFill="1">
      <alignment vertical="center"/>
    </xf>
    <xf numFmtId="0" fontId="5" fillId="5" borderId="0" xfId="0" applyFont="1" applyFill="1">
      <alignment vertical="center"/>
    </xf>
    <xf numFmtId="56" fontId="6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6" borderId="0" xfId="0" applyFill="1">
      <alignment vertical="center"/>
    </xf>
    <xf numFmtId="179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  <xf numFmtId="56" fontId="8" fillId="0" borderId="0" xfId="1" applyNumberFormat="1">
      <alignment vertical="center"/>
    </xf>
    <xf numFmtId="0" fontId="0" fillId="0" borderId="1" xfId="0" applyFont="1" applyBorder="1">
      <alignment vertical="center"/>
    </xf>
    <xf numFmtId="0" fontId="0" fillId="0" borderId="0" xfId="0" applyNumberFormat="1">
      <alignment vertical="center"/>
    </xf>
  </cellXfs>
  <cellStyles count="2">
    <cellStyle name="ハイパーリンク" xfId="1" builtinId="8"/>
    <cellStyle name="標準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indexed="64"/>
          <bgColor theme="4"/>
        </patternFill>
      </fill>
    </dxf>
    <dxf>
      <numFmt numFmtId="47" formatCode="m&quot;月&quot;d&quot;日&quot;"/>
    </dxf>
    <dxf>
      <numFmt numFmtId="47" formatCode="m&quot;月&quot;d&quot;日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indexed="64"/>
          <bgColor theme="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indexed="64"/>
          <bgColor theme="4"/>
        </patternFill>
      </fill>
    </dxf>
    <dxf>
      <numFmt numFmtId="47" formatCode="m&quot;月&quot;d&quot;日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グラフ化!$D$1</c:f>
              <c:strCache>
                <c:ptCount val="1"/>
                <c:pt idx="0">
                  <c:v>売上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グラフ化!$A$2:$A$11</c:f>
              <c:numCache>
                <c:formatCode>m"月"d"日"</c:formatCode>
                <c:ptCount val="10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</c:numCache>
            </c:numRef>
          </c:cat>
          <c:val>
            <c:numRef>
              <c:f>グラフ化!$D$2:$D$11</c:f>
              <c:numCache>
                <c:formatCode>General</c:formatCode>
                <c:ptCount val="10"/>
                <c:pt idx="0">
                  <c:v>20000</c:v>
                </c:pt>
                <c:pt idx="1">
                  <c:v>104000</c:v>
                </c:pt>
                <c:pt idx="2">
                  <c:v>4000</c:v>
                </c:pt>
                <c:pt idx="3">
                  <c:v>1500</c:v>
                </c:pt>
                <c:pt idx="4">
                  <c:v>144000</c:v>
                </c:pt>
                <c:pt idx="5">
                  <c:v>20000</c:v>
                </c:pt>
                <c:pt idx="6">
                  <c:v>900</c:v>
                </c:pt>
                <c:pt idx="7">
                  <c:v>168000</c:v>
                </c:pt>
                <c:pt idx="8">
                  <c:v>88000</c:v>
                </c:pt>
                <c:pt idx="9">
                  <c:v>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DC-43A0-A28F-48376AB5C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0245999"/>
        <c:axId val="2070246479"/>
      </c:lineChart>
      <c:dateAx>
        <c:axId val="2070245999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0246479"/>
        <c:crosses val="autoZero"/>
        <c:auto val="1"/>
        <c:lblOffset val="100"/>
        <c:baseTimeUnit val="days"/>
      </c:dateAx>
      <c:valAx>
        <c:axId val="207024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024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339634</xdr:colOff>
      <xdr:row>26</xdr:row>
      <xdr:rowOff>65315</xdr:rowOff>
    </xdr:from>
    <xdr:to>
      <xdr:col>11</xdr:col>
      <xdr:colOff>258630</xdr:colOff>
      <xdr:row>38</xdr:row>
      <xdr:rowOff>219112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C35C86D-5725-E77C-173A-CCC47ABCC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994" y="6065521"/>
          <a:ext cx="5283476" cy="29231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12</xdr:row>
      <xdr:rowOff>120650</xdr:rowOff>
    </xdr:from>
    <xdr:to>
      <xdr:col>10</xdr:col>
      <xdr:colOff>647700</xdr:colOff>
      <xdr:row>24</xdr:row>
      <xdr:rowOff>120650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62E9C28-DAE7-9BF1-84FA-5B9F27DD1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104502</xdr:colOff>
      <xdr:row>1</xdr:row>
      <xdr:rowOff>228602</xdr:rowOff>
    </xdr:from>
    <xdr:to>
      <xdr:col>8</xdr:col>
      <xdr:colOff>592182</xdr:colOff>
      <xdr:row>13</xdr:row>
      <xdr:rowOff>40551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担当者">
              <a:extLst>
                <a:ext uri="{FF2B5EF4-FFF2-40B4-BE49-F238E27FC236}">
                  <a16:creationId xmlns:a16="http://schemas.microsoft.com/office/drawing/2014/main" id="{E7F00B94-C152-C871-2586-A468161ED4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担当者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04411" y="459379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この図形はテーブル スライサーを表しています。テーブル スライサーはこのバージョンの Excel ではサポートされていません。
以前のバージョンの Excel で図形を変更した場合、または Excel 2007 以前の形式でブックを保存した場合は、スライサーを使用できません。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担当者" xr10:uid="{2938B799-B8B3-44A1-AF0C-0018FE83118F}" sourceName="担当者">
  <extLst>
    <x:ext xmlns:x15="http://schemas.microsoft.com/office/spreadsheetml/2010/11/main" uri="{2F2917AC-EB37-4324-AD4E-5DD8C200BD13}">
      <x15:tableSlicerCache tableId="3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担当者" xr10:uid="{0C07513F-25C1-42CB-BDAF-BC730E6CD252}" cache="スライサー_担当者" caption="担当者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9114D-12C7-41FA-97ED-E8EEEF453E49}" name="テーブル1" displayName="テーブル1" ref="A1:E13" totalsRowShown="0" headerRowDxfId="7">
  <autoFilter ref="A1:E13" xr:uid="{D419114D-12C7-41FA-97ED-E8EEEF453E49}"/>
  <tableColumns count="5">
    <tableColumn id="1" xr3:uid="{A32A9256-1A74-4E11-89E4-741B48D076A9}" name="売上日" dataDxfId="8"/>
    <tableColumn id="2" xr3:uid="{233681B8-8543-459C-A7A7-606A25C4EB86}" name="商品名"/>
    <tableColumn id="3" xr3:uid="{C0966018-7198-49BF-BF3E-D03DA157C0DE}" name="個数"/>
    <tableColumn id="4" xr3:uid="{2502E338-2A55-47F8-9499-89B06BA14DD7}" name="売上"/>
    <tableColumn id="5" xr3:uid="{12D2E8C5-D0DE-4E8A-95CB-D8817D4EF74D}" name="税込み" dataDxfId="6">
      <calculatedColumnFormula>テーブル1[[#This Row],[売上]]*1.1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917472-BA9D-44EB-A979-4F15EE27E9B6}" name="T_商品名一覧" displayName="T_商品名一覧" ref="A1:A8" totalsRowShown="0" headerRowDxfId="3">
  <autoFilter ref="A1:A8" xr:uid="{DA917472-BA9D-44EB-A979-4F15EE27E9B6}"/>
  <tableColumns count="1">
    <tableColumn id="1" xr3:uid="{873C161A-BA59-46F2-81A2-22BA16D79F50}" name="商品名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E2FACE-97BF-427C-8C79-064E8E57E695}" name="T_売上データ" displayName="T_売上データ" ref="A1:F12" totalsRowCount="1" headerRowDxfId="0">
  <autoFilter ref="A1:F11" xr:uid="{0CE2FACE-97BF-427C-8C79-064E8E57E695}"/>
  <tableColumns count="6">
    <tableColumn id="1" xr3:uid="{DE31466A-3260-4F6F-9F16-18DF989B1683}" name="売上日" totalsRowLabel="集計" dataDxfId="2"/>
    <tableColumn id="2" xr3:uid="{21A6F6EA-7799-4446-8CF3-B82E2E1A3D7E}" name="カテゴリー" dataDxfId="1"/>
    <tableColumn id="3" xr3:uid="{040D76CB-A82D-4C9F-9D56-2B3580D87F40}" name="商品名"/>
    <tableColumn id="4" xr3:uid="{A4429471-4762-4A30-AACD-E7D47C2D3BA1}" name="個数"/>
    <tableColumn id="5" xr3:uid="{A0CFA8E1-BAFA-4A9C-8B29-25576096F7CB}" name="売上" totalsRowFunction="sum"/>
    <tableColumn id="6" xr3:uid="{C0291FD5-1485-4D4C-9F13-A01F16801050}" name="担当者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sampleuser001@example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979B3-511F-4910-A3E4-D90EF6B248E0}">
  <dimension ref="A1:H32"/>
  <sheetViews>
    <sheetView topLeftCell="A25" zoomScale="160" zoomScaleNormal="160" workbookViewId="0">
      <selection activeCell="B28" sqref="B28"/>
    </sheetView>
  </sheetViews>
  <sheetFormatPr defaultRowHeight="18" x14ac:dyDescent="0.45"/>
  <cols>
    <col min="1" max="1" width="9.19921875" bestFit="1" customWidth="1"/>
    <col min="2" max="2" width="15.3984375" customWidth="1"/>
    <col min="3" max="3" width="18.59765625" customWidth="1"/>
    <col min="8" max="8" width="13.5" customWidth="1"/>
  </cols>
  <sheetData>
    <row r="1" spans="1:8" x14ac:dyDescent="0.45">
      <c r="A1" s="4" t="s">
        <v>13</v>
      </c>
    </row>
    <row r="2" spans="1:8" x14ac:dyDescent="0.45">
      <c r="A2" s="4"/>
    </row>
    <row r="3" spans="1:8" s="17" customFormat="1" x14ac:dyDescent="0.45">
      <c r="A3" s="3" t="s">
        <v>0</v>
      </c>
      <c r="B3" s="3" t="s">
        <v>1</v>
      </c>
      <c r="C3" s="3" t="s">
        <v>2</v>
      </c>
      <c r="F3" s="3" t="s">
        <v>0</v>
      </c>
      <c r="G3" s="3" t="s">
        <v>1</v>
      </c>
      <c r="H3" s="3" t="s">
        <v>2</v>
      </c>
    </row>
    <row r="4" spans="1:8" x14ac:dyDescent="0.45">
      <c r="A4" s="1">
        <v>45606</v>
      </c>
      <c r="B4" t="s">
        <v>183</v>
      </c>
      <c r="C4" t="s">
        <v>8</v>
      </c>
      <c r="F4" s="1">
        <v>45606</v>
      </c>
      <c r="G4" t="s">
        <v>183</v>
      </c>
      <c r="H4" t="s">
        <v>8</v>
      </c>
    </row>
    <row r="5" spans="1:8" x14ac:dyDescent="0.45">
      <c r="A5" s="1">
        <v>45607</v>
      </c>
      <c r="B5" s="18" t="s">
        <v>4</v>
      </c>
      <c r="C5" t="s">
        <v>9</v>
      </c>
      <c r="F5" s="1">
        <v>45607</v>
      </c>
      <c r="G5" s="18" t="s">
        <v>4</v>
      </c>
      <c r="H5" t="s">
        <v>9</v>
      </c>
    </row>
    <row r="6" spans="1:8" x14ac:dyDescent="0.45">
      <c r="A6" s="1">
        <v>45608</v>
      </c>
      <c r="B6" t="s">
        <v>5</v>
      </c>
      <c r="C6" t="s">
        <v>10</v>
      </c>
      <c r="F6" s="1">
        <v>45608</v>
      </c>
      <c r="G6" t="s">
        <v>5</v>
      </c>
      <c r="H6" t="s">
        <v>10</v>
      </c>
    </row>
    <row r="7" spans="1:8" x14ac:dyDescent="0.45">
      <c r="A7" s="1">
        <v>45609</v>
      </c>
      <c r="B7" t="s">
        <v>6</v>
      </c>
      <c r="C7" t="s">
        <v>11</v>
      </c>
      <c r="F7" s="1">
        <v>45609</v>
      </c>
      <c r="G7" t="s">
        <v>6</v>
      </c>
      <c r="H7" t="s">
        <v>11</v>
      </c>
    </row>
    <row r="8" spans="1:8" x14ac:dyDescent="0.45">
      <c r="A8" s="1">
        <v>45610</v>
      </c>
      <c r="B8" t="s">
        <v>7</v>
      </c>
      <c r="C8" t="s">
        <v>12</v>
      </c>
      <c r="F8" s="1">
        <v>45610</v>
      </c>
      <c r="G8" t="s">
        <v>7</v>
      </c>
      <c r="H8" t="s">
        <v>12</v>
      </c>
    </row>
    <row r="11" spans="1:8" x14ac:dyDescent="0.45">
      <c r="A11" s="4" t="s">
        <v>14</v>
      </c>
    </row>
    <row r="12" spans="1:8" x14ac:dyDescent="0.45">
      <c r="A12" s="2" t="s">
        <v>0</v>
      </c>
      <c r="B12" s="3" t="s">
        <v>1</v>
      </c>
      <c r="C12" s="3" t="s">
        <v>2</v>
      </c>
    </row>
    <row r="13" spans="1:8" x14ac:dyDescent="0.45">
      <c r="A13" s="1">
        <v>45606</v>
      </c>
      <c r="B13" t="s">
        <v>183</v>
      </c>
      <c r="C13" t="s">
        <v>8</v>
      </c>
    </row>
    <row r="14" spans="1:8" x14ac:dyDescent="0.45">
      <c r="A14" s="1">
        <v>45607</v>
      </c>
      <c r="B14" s="18" t="s">
        <v>4</v>
      </c>
      <c r="C14" t="s">
        <v>9</v>
      </c>
    </row>
    <row r="15" spans="1:8" x14ac:dyDescent="0.45">
      <c r="A15" s="1">
        <v>45608</v>
      </c>
      <c r="B15" t="s">
        <v>184</v>
      </c>
      <c r="C15" t="s">
        <v>10</v>
      </c>
    </row>
    <row r="16" spans="1:8" x14ac:dyDescent="0.45">
      <c r="A16" s="1">
        <v>45608</v>
      </c>
      <c r="B16" t="s">
        <v>5</v>
      </c>
      <c r="C16" t="s">
        <v>10</v>
      </c>
    </row>
    <row r="17" spans="1:5" x14ac:dyDescent="0.45">
      <c r="A17" s="1">
        <v>45608</v>
      </c>
      <c r="B17" t="s">
        <v>5</v>
      </c>
      <c r="C17" t="s">
        <v>10</v>
      </c>
    </row>
    <row r="18" spans="1:5" x14ac:dyDescent="0.45">
      <c r="A18" s="1"/>
    </row>
    <row r="19" spans="1:5" x14ac:dyDescent="0.45">
      <c r="A19" s="4" t="s">
        <v>15</v>
      </c>
    </row>
    <row r="20" spans="1:5" x14ac:dyDescent="0.45">
      <c r="A20" s="2" t="s">
        <v>0</v>
      </c>
      <c r="B20" s="3" t="s">
        <v>1</v>
      </c>
      <c r="C20" s="3" t="s">
        <v>2</v>
      </c>
    </row>
    <row r="21" spans="1:5" x14ac:dyDescent="0.45">
      <c r="A21" s="1">
        <v>45606</v>
      </c>
      <c r="B21" t="s">
        <v>183</v>
      </c>
      <c r="C21" t="s">
        <v>8</v>
      </c>
    </row>
    <row r="22" spans="1:5" x14ac:dyDescent="0.45">
      <c r="A22" s="1">
        <v>45607</v>
      </c>
      <c r="B22" s="18" t="s">
        <v>4</v>
      </c>
      <c r="C22" t="s">
        <v>9</v>
      </c>
    </row>
    <row r="23" spans="1:5" x14ac:dyDescent="0.45">
      <c r="A23" s="1">
        <v>45608</v>
      </c>
      <c r="B23" t="s">
        <v>5</v>
      </c>
      <c r="C23" t="s">
        <v>10</v>
      </c>
    </row>
    <row r="26" spans="1:5" x14ac:dyDescent="0.45">
      <c r="A26" s="4" t="s">
        <v>16</v>
      </c>
    </row>
    <row r="27" spans="1:5" x14ac:dyDescent="0.45">
      <c r="A27" s="2" t="s">
        <v>0</v>
      </c>
      <c r="B27" s="3" t="s">
        <v>1</v>
      </c>
      <c r="C27" s="3" t="s">
        <v>2</v>
      </c>
    </row>
    <row r="28" spans="1:5" x14ac:dyDescent="0.45">
      <c r="A28" s="1">
        <v>45606</v>
      </c>
      <c r="B28" t="s">
        <v>183</v>
      </c>
      <c r="C28" t="s">
        <v>8</v>
      </c>
    </row>
    <row r="29" spans="1:5" x14ac:dyDescent="0.45">
      <c r="A29" s="1">
        <v>45607</v>
      </c>
      <c r="B29" s="18" t="s">
        <v>4</v>
      </c>
      <c r="C29" t="s">
        <v>9</v>
      </c>
    </row>
    <row r="30" spans="1:5" x14ac:dyDescent="0.45">
      <c r="A30" s="1">
        <v>45608</v>
      </c>
      <c r="B30" t="s">
        <v>5</v>
      </c>
      <c r="C30" t="s">
        <v>10</v>
      </c>
    </row>
    <row r="31" spans="1:5" x14ac:dyDescent="0.45">
      <c r="A31" s="1">
        <v>45609</v>
      </c>
      <c r="B31" t="s">
        <v>6</v>
      </c>
      <c r="C31" t="s">
        <v>8</v>
      </c>
    </row>
    <row r="32" spans="1:5" x14ac:dyDescent="0.45">
      <c r="A32" s="1">
        <v>45610</v>
      </c>
      <c r="B32" t="s">
        <v>7</v>
      </c>
      <c r="C32" t="s">
        <v>9</v>
      </c>
      <c r="E32" t="s">
        <v>185</v>
      </c>
    </row>
  </sheetData>
  <autoFilter ref="A27:C32" xr:uid="{01F979B3-511F-4910-A3E4-D90EF6B248E0}"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8F4D0-C698-4D6E-8362-7DF4912EEC7C}">
  <dimension ref="A1:C32"/>
  <sheetViews>
    <sheetView topLeftCell="A26" zoomScale="175" zoomScaleNormal="175" workbookViewId="0">
      <selection activeCell="B28" sqref="B28"/>
    </sheetView>
  </sheetViews>
  <sheetFormatPr defaultRowHeight="18" x14ac:dyDescent="0.45"/>
  <cols>
    <col min="1" max="1" width="15.19921875" bestFit="1" customWidth="1"/>
  </cols>
  <sheetData>
    <row r="1" spans="1:3" x14ac:dyDescent="0.45">
      <c r="A1" s="4" t="s">
        <v>17</v>
      </c>
    </row>
    <row r="3" spans="1:3" x14ac:dyDescent="0.45">
      <c r="A3" s="2" t="s">
        <v>0</v>
      </c>
      <c r="B3" s="3" t="s">
        <v>18</v>
      </c>
    </row>
    <row r="4" spans="1:3" x14ac:dyDescent="0.45">
      <c r="A4" s="20">
        <v>45606</v>
      </c>
      <c r="B4" s="19">
        <v>2000</v>
      </c>
    </row>
    <row r="5" spans="1:3" x14ac:dyDescent="0.45">
      <c r="A5" s="20">
        <v>45607</v>
      </c>
      <c r="B5" s="19">
        <v>1000</v>
      </c>
    </row>
    <row r="6" spans="1:3" x14ac:dyDescent="0.45">
      <c r="A6" s="20">
        <v>45608</v>
      </c>
      <c r="B6" s="19">
        <v>800</v>
      </c>
    </row>
    <row r="7" spans="1:3" x14ac:dyDescent="0.45">
      <c r="A7" s="20">
        <v>45609</v>
      </c>
      <c r="B7" s="19">
        <v>5000</v>
      </c>
    </row>
    <row r="8" spans="1:3" x14ac:dyDescent="0.45">
      <c r="A8" s="20">
        <v>45610</v>
      </c>
      <c r="B8" s="19">
        <v>3000</v>
      </c>
    </row>
    <row r="11" spans="1:3" x14ac:dyDescent="0.45">
      <c r="A11" s="4" t="s">
        <v>182</v>
      </c>
    </row>
    <row r="12" spans="1:3" x14ac:dyDescent="0.45">
      <c r="A12" s="2" t="s">
        <v>0</v>
      </c>
      <c r="B12" s="6" t="s">
        <v>19</v>
      </c>
      <c r="C12" s="3" t="s">
        <v>18</v>
      </c>
    </row>
    <row r="13" spans="1:3" x14ac:dyDescent="0.45">
      <c r="A13" s="5">
        <v>45606</v>
      </c>
      <c r="B13" s="7" t="s">
        <v>20</v>
      </c>
      <c r="C13">
        <v>2000</v>
      </c>
    </row>
    <row r="14" spans="1:3" x14ac:dyDescent="0.45">
      <c r="A14" s="5">
        <v>45607</v>
      </c>
      <c r="B14" s="7" t="s">
        <v>21</v>
      </c>
      <c r="C14">
        <v>1000</v>
      </c>
    </row>
    <row r="15" spans="1:3" x14ac:dyDescent="0.45">
      <c r="A15" s="5">
        <v>45608</v>
      </c>
      <c r="B15" s="7" t="s">
        <v>22</v>
      </c>
      <c r="C15">
        <v>800</v>
      </c>
    </row>
    <row r="16" spans="1:3" x14ac:dyDescent="0.45">
      <c r="A16" s="5">
        <v>45609</v>
      </c>
      <c r="B16" s="7" t="s">
        <v>23</v>
      </c>
      <c r="C16">
        <v>5000</v>
      </c>
    </row>
    <row r="17" spans="1:3" x14ac:dyDescent="0.45">
      <c r="A17" s="5">
        <v>45610</v>
      </c>
      <c r="B17" s="7" t="s">
        <v>24</v>
      </c>
      <c r="C17">
        <v>3000</v>
      </c>
    </row>
    <row r="18" spans="1:3" x14ac:dyDescent="0.45">
      <c r="C18" s="7"/>
    </row>
    <row r="19" spans="1:3" x14ac:dyDescent="0.45">
      <c r="A19" s="4" t="s">
        <v>25</v>
      </c>
    </row>
    <row r="20" spans="1:3" x14ac:dyDescent="0.45">
      <c r="A20" s="2" t="s">
        <v>0</v>
      </c>
      <c r="B20" s="3" t="s">
        <v>18</v>
      </c>
      <c r="C20" s="6" t="s">
        <v>19</v>
      </c>
    </row>
    <row r="21" spans="1:3" x14ac:dyDescent="0.45">
      <c r="A21" s="5">
        <v>45606</v>
      </c>
      <c r="B21">
        <v>2000</v>
      </c>
      <c r="C21" s="7" t="s">
        <v>20</v>
      </c>
    </row>
    <row r="22" spans="1:3" x14ac:dyDescent="0.45">
      <c r="A22" s="5">
        <v>45607</v>
      </c>
      <c r="B22" t="s">
        <v>186</v>
      </c>
      <c r="C22" s="7" t="s">
        <v>21</v>
      </c>
    </row>
    <row r="23" spans="1:3" x14ac:dyDescent="0.45">
      <c r="A23" s="5">
        <v>45608</v>
      </c>
      <c r="B23">
        <v>800</v>
      </c>
      <c r="C23" s="7" t="s">
        <v>186</v>
      </c>
    </row>
    <row r="24" spans="1:3" x14ac:dyDescent="0.45">
      <c r="A24" s="5">
        <v>45609</v>
      </c>
      <c r="B24">
        <v>5000</v>
      </c>
      <c r="C24" s="7" t="s">
        <v>23</v>
      </c>
    </row>
    <row r="25" spans="1:3" x14ac:dyDescent="0.45">
      <c r="A25" s="5">
        <v>45610</v>
      </c>
      <c r="B25" t="s">
        <v>186</v>
      </c>
      <c r="C25" s="7" t="s">
        <v>24</v>
      </c>
    </row>
    <row r="27" spans="1:3" x14ac:dyDescent="0.45">
      <c r="A27" s="4" t="s">
        <v>26</v>
      </c>
    </row>
    <row r="30" spans="1:3" x14ac:dyDescent="0.45">
      <c r="A30" s="4" t="s">
        <v>27</v>
      </c>
    </row>
    <row r="32" spans="1:3" x14ac:dyDescent="0.45">
      <c r="A32" s="4" t="s">
        <v>100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F6A2B-8BF3-4575-871C-5C11C5A57680}">
  <dimension ref="A1:BO21"/>
  <sheetViews>
    <sheetView topLeftCell="A10" zoomScale="175" zoomScaleNormal="175" workbookViewId="0">
      <selection activeCell="A14" sqref="A14"/>
    </sheetView>
  </sheetViews>
  <sheetFormatPr defaultRowHeight="18" x14ac:dyDescent="0.45"/>
  <cols>
    <col min="1" max="1" width="14.69921875" customWidth="1"/>
    <col min="2" max="2" width="13.59765625" customWidth="1"/>
    <col min="3" max="3" width="16.3984375" customWidth="1"/>
  </cols>
  <sheetData>
    <row r="1" spans="1:67" x14ac:dyDescent="0.45">
      <c r="A1" s="4" t="s">
        <v>188</v>
      </c>
    </row>
    <row r="4" spans="1:67" x14ac:dyDescent="0.45">
      <c r="A4" s="14" t="s">
        <v>101</v>
      </c>
      <c r="B4" s="14" t="s">
        <v>102</v>
      </c>
      <c r="C4" s="14" t="s">
        <v>103</v>
      </c>
    </row>
    <row r="5" spans="1:67" x14ac:dyDescent="0.45">
      <c r="A5" s="15">
        <v>45606</v>
      </c>
      <c r="B5" s="16" t="s">
        <v>104</v>
      </c>
      <c r="C5" s="16" t="s">
        <v>105</v>
      </c>
    </row>
    <row r="6" spans="1:67" x14ac:dyDescent="0.45">
      <c r="A6" s="15">
        <v>45607</v>
      </c>
      <c r="B6" s="16" t="s">
        <v>187</v>
      </c>
      <c r="C6" s="16" t="s">
        <v>106</v>
      </c>
    </row>
    <row r="7" spans="1:67" x14ac:dyDescent="0.45">
      <c r="A7" s="15">
        <v>45608</v>
      </c>
      <c r="B7" s="16" t="s">
        <v>107</v>
      </c>
      <c r="C7" s="16" t="s">
        <v>108</v>
      </c>
    </row>
    <row r="8" spans="1:67" x14ac:dyDescent="0.45">
      <c r="A8" s="15">
        <v>45609</v>
      </c>
      <c r="B8" s="16" t="s">
        <v>109</v>
      </c>
      <c r="C8" s="16" t="s">
        <v>110</v>
      </c>
    </row>
    <row r="9" spans="1:67" x14ac:dyDescent="0.45">
      <c r="A9" s="15">
        <v>45610</v>
      </c>
      <c r="B9" s="16" t="s">
        <v>111</v>
      </c>
      <c r="C9" s="16" t="s">
        <v>112</v>
      </c>
    </row>
    <row r="11" spans="1:67" x14ac:dyDescent="0.45">
      <c r="A11" s="4" t="s">
        <v>113</v>
      </c>
    </row>
    <row r="13" spans="1:67" x14ac:dyDescent="0.45">
      <c r="A13" s="2" t="s">
        <v>114</v>
      </c>
      <c r="B13" s="2" t="s">
        <v>115</v>
      </c>
      <c r="C13" s="2" t="s">
        <v>116</v>
      </c>
      <c r="D13" s="2" t="s">
        <v>117</v>
      </c>
      <c r="E13" s="2" t="s">
        <v>118</v>
      </c>
      <c r="F13" s="2" t="s">
        <v>119</v>
      </c>
      <c r="G13" s="2" t="s">
        <v>120</v>
      </c>
      <c r="H13" s="2" t="s">
        <v>121</v>
      </c>
      <c r="I13" s="2" t="s">
        <v>122</v>
      </c>
      <c r="J13" s="2" t="s">
        <v>123</v>
      </c>
      <c r="K13" s="2" t="s">
        <v>124</v>
      </c>
      <c r="L13" s="2" t="s">
        <v>125</v>
      </c>
      <c r="M13" s="2" t="s">
        <v>126</v>
      </c>
      <c r="N13" s="2" t="s">
        <v>127</v>
      </c>
      <c r="O13" s="2" t="s">
        <v>128</v>
      </c>
      <c r="P13" s="2" t="s">
        <v>129</v>
      </c>
      <c r="Q13" s="2" t="s">
        <v>130</v>
      </c>
      <c r="R13" s="2" t="s">
        <v>131</v>
      </c>
      <c r="S13" s="2" t="s">
        <v>132</v>
      </c>
      <c r="T13" s="2" t="s">
        <v>133</v>
      </c>
      <c r="U13" s="2" t="s">
        <v>134</v>
      </c>
      <c r="V13" s="2" t="s">
        <v>135</v>
      </c>
      <c r="W13" s="2" t="s">
        <v>136</v>
      </c>
      <c r="X13" s="2" t="s">
        <v>137</v>
      </c>
      <c r="Y13" s="2" t="s">
        <v>138</v>
      </c>
      <c r="Z13" s="2" t="s">
        <v>139</v>
      </c>
      <c r="AA13" s="2" t="s">
        <v>140</v>
      </c>
      <c r="AB13" s="2" t="s">
        <v>141</v>
      </c>
      <c r="AC13" s="2" t="s">
        <v>142</v>
      </c>
      <c r="AD13" s="2" t="s">
        <v>143</v>
      </c>
      <c r="AE13" s="2" t="s">
        <v>144</v>
      </c>
      <c r="AF13" s="2" t="s">
        <v>145</v>
      </c>
      <c r="AG13" s="2" t="s">
        <v>146</v>
      </c>
      <c r="AH13" s="2" t="s">
        <v>147</v>
      </c>
      <c r="AI13" s="2" t="s">
        <v>148</v>
      </c>
      <c r="AJ13" s="2" t="s">
        <v>149</v>
      </c>
      <c r="AK13" s="2" t="s">
        <v>150</v>
      </c>
      <c r="AL13" s="2" t="s">
        <v>151</v>
      </c>
      <c r="AM13" s="2" t="s">
        <v>152</v>
      </c>
      <c r="AN13" s="2" t="s">
        <v>153</v>
      </c>
      <c r="AO13" s="2" t="s">
        <v>154</v>
      </c>
      <c r="AP13" s="2" t="s">
        <v>155</v>
      </c>
      <c r="AQ13" s="2" t="s">
        <v>156</v>
      </c>
      <c r="AR13" s="2" t="s">
        <v>157</v>
      </c>
      <c r="AS13" s="2" t="s">
        <v>158</v>
      </c>
      <c r="AT13" s="2" t="s">
        <v>159</v>
      </c>
      <c r="AU13" s="2" t="s">
        <v>160</v>
      </c>
      <c r="AV13" s="2" t="s">
        <v>161</v>
      </c>
      <c r="AW13" s="2" t="s">
        <v>162</v>
      </c>
      <c r="AX13" s="2" t="s">
        <v>163</v>
      </c>
      <c r="AY13" s="2" t="s">
        <v>164</v>
      </c>
      <c r="AZ13" s="2" t="s">
        <v>165</v>
      </c>
      <c r="BA13" s="2" t="s">
        <v>166</v>
      </c>
      <c r="BB13" s="2" t="s">
        <v>167</v>
      </c>
      <c r="BC13" s="2" t="s">
        <v>168</v>
      </c>
      <c r="BD13" s="2" t="s">
        <v>169</v>
      </c>
      <c r="BE13" s="2" t="s">
        <v>170</v>
      </c>
      <c r="BF13" s="2" t="s">
        <v>171</v>
      </c>
      <c r="BG13" s="2" t="s">
        <v>172</v>
      </c>
      <c r="BH13" s="2" t="s">
        <v>173</v>
      </c>
      <c r="BI13" s="2" t="s">
        <v>174</v>
      </c>
      <c r="BJ13" s="2" t="s">
        <v>175</v>
      </c>
      <c r="BK13" s="2" t="s">
        <v>176</v>
      </c>
      <c r="BL13" s="2" t="s">
        <v>177</v>
      </c>
      <c r="BM13" s="2" t="s">
        <v>178</v>
      </c>
      <c r="BN13" s="2" t="s">
        <v>179</v>
      </c>
      <c r="BO13" s="2" t="s">
        <v>180</v>
      </c>
    </row>
    <row r="14" spans="1:67" x14ac:dyDescent="0.45">
      <c r="A14">
        <v>123</v>
      </c>
      <c r="B14">
        <v>123</v>
      </c>
      <c r="C14">
        <v>123</v>
      </c>
      <c r="D14">
        <v>123</v>
      </c>
      <c r="E14">
        <v>123</v>
      </c>
      <c r="F14">
        <v>123</v>
      </c>
      <c r="G14">
        <v>123</v>
      </c>
      <c r="H14">
        <v>123</v>
      </c>
      <c r="I14">
        <v>123</v>
      </c>
      <c r="J14">
        <v>123</v>
      </c>
      <c r="K14">
        <v>123</v>
      </c>
      <c r="L14">
        <v>123</v>
      </c>
      <c r="M14">
        <v>123</v>
      </c>
      <c r="N14">
        <v>123</v>
      </c>
      <c r="O14">
        <v>123</v>
      </c>
      <c r="P14">
        <v>123</v>
      </c>
      <c r="Q14">
        <v>123</v>
      </c>
      <c r="R14">
        <v>123</v>
      </c>
      <c r="S14">
        <v>123</v>
      </c>
      <c r="T14">
        <v>123</v>
      </c>
      <c r="U14">
        <v>123</v>
      </c>
      <c r="V14">
        <v>123</v>
      </c>
      <c r="W14">
        <v>123</v>
      </c>
      <c r="X14">
        <v>123</v>
      </c>
      <c r="Y14">
        <v>123</v>
      </c>
      <c r="Z14">
        <v>123</v>
      </c>
      <c r="AA14">
        <v>123</v>
      </c>
      <c r="AB14">
        <v>123</v>
      </c>
      <c r="AC14">
        <v>123</v>
      </c>
      <c r="AD14">
        <v>123</v>
      </c>
      <c r="AE14">
        <v>123</v>
      </c>
      <c r="AF14">
        <v>123</v>
      </c>
      <c r="AG14">
        <v>123</v>
      </c>
      <c r="AH14">
        <v>123</v>
      </c>
      <c r="AI14">
        <v>123</v>
      </c>
      <c r="AJ14">
        <v>123</v>
      </c>
      <c r="AK14">
        <v>123</v>
      </c>
      <c r="AL14">
        <v>123</v>
      </c>
      <c r="AM14">
        <v>123</v>
      </c>
      <c r="AN14">
        <v>123</v>
      </c>
      <c r="AO14">
        <v>123</v>
      </c>
      <c r="AP14">
        <v>123</v>
      </c>
      <c r="AQ14">
        <v>123</v>
      </c>
      <c r="AR14">
        <v>123</v>
      </c>
      <c r="AS14">
        <v>123</v>
      </c>
      <c r="AT14">
        <v>123</v>
      </c>
      <c r="AU14">
        <v>123</v>
      </c>
      <c r="AV14">
        <v>123</v>
      </c>
      <c r="AW14">
        <v>123</v>
      </c>
      <c r="AX14">
        <v>123</v>
      </c>
      <c r="AY14">
        <v>123</v>
      </c>
      <c r="AZ14">
        <v>123</v>
      </c>
      <c r="BA14">
        <v>123</v>
      </c>
      <c r="BB14">
        <v>123</v>
      </c>
      <c r="BC14">
        <v>123</v>
      </c>
      <c r="BD14">
        <v>123</v>
      </c>
      <c r="BE14">
        <v>123</v>
      </c>
      <c r="BF14">
        <v>123</v>
      </c>
      <c r="BG14">
        <v>123</v>
      </c>
      <c r="BH14">
        <v>123</v>
      </c>
      <c r="BI14">
        <v>123</v>
      </c>
      <c r="BJ14">
        <v>123</v>
      </c>
      <c r="BK14">
        <v>123</v>
      </c>
      <c r="BL14">
        <v>123</v>
      </c>
      <c r="BM14">
        <v>123</v>
      </c>
      <c r="BN14">
        <v>123</v>
      </c>
      <c r="BO14">
        <v>123</v>
      </c>
    </row>
    <row r="15" spans="1:67" x14ac:dyDescent="0.45">
      <c r="A15">
        <v>123</v>
      </c>
      <c r="B15">
        <v>123</v>
      </c>
      <c r="C15">
        <v>123</v>
      </c>
      <c r="D15">
        <v>123</v>
      </c>
      <c r="E15">
        <v>123</v>
      </c>
      <c r="F15">
        <v>123</v>
      </c>
      <c r="G15">
        <v>123</v>
      </c>
      <c r="H15">
        <v>123</v>
      </c>
      <c r="I15">
        <v>123</v>
      </c>
      <c r="J15">
        <v>123</v>
      </c>
      <c r="K15">
        <v>123</v>
      </c>
      <c r="L15">
        <v>123</v>
      </c>
      <c r="M15">
        <v>123</v>
      </c>
      <c r="N15">
        <v>123</v>
      </c>
      <c r="O15">
        <v>123</v>
      </c>
      <c r="P15">
        <v>123</v>
      </c>
      <c r="Q15">
        <v>123</v>
      </c>
      <c r="R15">
        <v>123</v>
      </c>
      <c r="S15">
        <v>123</v>
      </c>
      <c r="T15">
        <v>123</v>
      </c>
      <c r="U15">
        <v>123</v>
      </c>
      <c r="V15">
        <v>123</v>
      </c>
      <c r="W15">
        <v>123</v>
      </c>
      <c r="X15">
        <v>123</v>
      </c>
      <c r="Y15">
        <v>123</v>
      </c>
      <c r="Z15">
        <v>123</v>
      </c>
      <c r="AA15">
        <v>123</v>
      </c>
      <c r="AB15">
        <v>123</v>
      </c>
      <c r="AC15">
        <v>123</v>
      </c>
      <c r="AD15">
        <v>123</v>
      </c>
      <c r="AE15">
        <v>123</v>
      </c>
      <c r="AF15">
        <v>123</v>
      </c>
      <c r="AG15">
        <v>123</v>
      </c>
      <c r="AH15">
        <v>123</v>
      </c>
      <c r="AI15">
        <v>123</v>
      </c>
      <c r="AJ15">
        <v>123</v>
      </c>
      <c r="AK15">
        <v>123</v>
      </c>
      <c r="AL15">
        <v>123</v>
      </c>
      <c r="AM15">
        <v>123</v>
      </c>
      <c r="AN15">
        <v>123</v>
      </c>
      <c r="AO15">
        <v>123</v>
      </c>
      <c r="AP15">
        <v>123</v>
      </c>
      <c r="AQ15">
        <v>123</v>
      </c>
      <c r="AR15">
        <v>123</v>
      </c>
      <c r="AS15">
        <v>123</v>
      </c>
      <c r="AT15">
        <v>123</v>
      </c>
      <c r="AU15">
        <v>123</v>
      </c>
      <c r="AV15">
        <v>123</v>
      </c>
      <c r="AW15">
        <v>123</v>
      </c>
      <c r="AX15">
        <v>123</v>
      </c>
      <c r="AY15">
        <v>123</v>
      </c>
      <c r="AZ15">
        <v>123</v>
      </c>
      <c r="BA15">
        <v>123</v>
      </c>
      <c r="BB15">
        <v>123</v>
      </c>
      <c r="BC15">
        <v>123</v>
      </c>
      <c r="BD15">
        <v>123</v>
      </c>
      <c r="BE15">
        <v>123</v>
      </c>
      <c r="BF15">
        <v>123</v>
      </c>
      <c r="BG15">
        <v>123</v>
      </c>
      <c r="BH15">
        <v>123</v>
      </c>
      <c r="BI15">
        <v>123</v>
      </c>
      <c r="BJ15">
        <v>123</v>
      </c>
      <c r="BK15">
        <v>123</v>
      </c>
      <c r="BL15">
        <v>123</v>
      </c>
      <c r="BM15">
        <v>123</v>
      </c>
      <c r="BN15">
        <v>123</v>
      </c>
      <c r="BO15">
        <v>123</v>
      </c>
    </row>
    <row r="16" spans="1:67" x14ac:dyDescent="0.45">
      <c r="A16">
        <v>123</v>
      </c>
      <c r="B16">
        <v>123</v>
      </c>
      <c r="C16">
        <v>123</v>
      </c>
      <c r="D16">
        <v>123</v>
      </c>
      <c r="E16">
        <v>123</v>
      </c>
      <c r="F16">
        <v>123</v>
      </c>
      <c r="G16">
        <v>123</v>
      </c>
      <c r="H16">
        <v>123</v>
      </c>
      <c r="I16">
        <v>123</v>
      </c>
      <c r="J16">
        <v>123</v>
      </c>
      <c r="K16">
        <v>123</v>
      </c>
      <c r="L16">
        <v>123</v>
      </c>
      <c r="M16">
        <v>123</v>
      </c>
      <c r="N16">
        <v>123</v>
      </c>
      <c r="O16">
        <v>123</v>
      </c>
      <c r="P16">
        <v>123</v>
      </c>
      <c r="Q16">
        <v>123</v>
      </c>
      <c r="R16">
        <v>123</v>
      </c>
      <c r="S16">
        <v>123</v>
      </c>
      <c r="T16">
        <v>123</v>
      </c>
      <c r="U16">
        <v>123</v>
      </c>
      <c r="V16">
        <v>123</v>
      </c>
      <c r="W16">
        <v>123</v>
      </c>
      <c r="X16">
        <v>123</v>
      </c>
      <c r="Y16">
        <v>123</v>
      </c>
      <c r="Z16">
        <v>123</v>
      </c>
      <c r="AA16">
        <v>123</v>
      </c>
      <c r="AB16">
        <v>123</v>
      </c>
      <c r="AC16">
        <v>123</v>
      </c>
      <c r="AD16">
        <v>123</v>
      </c>
      <c r="AE16">
        <v>123</v>
      </c>
      <c r="AF16">
        <v>123</v>
      </c>
      <c r="AG16">
        <v>123</v>
      </c>
      <c r="AH16">
        <v>123</v>
      </c>
      <c r="AI16">
        <v>123</v>
      </c>
      <c r="AJ16">
        <v>123</v>
      </c>
      <c r="AK16">
        <v>123</v>
      </c>
      <c r="AL16">
        <v>123</v>
      </c>
      <c r="AM16">
        <v>123</v>
      </c>
      <c r="AN16">
        <v>123</v>
      </c>
      <c r="AO16">
        <v>123</v>
      </c>
      <c r="AP16">
        <v>123</v>
      </c>
      <c r="AQ16">
        <v>123</v>
      </c>
      <c r="AR16">
        <v>123</v>
      </c>
      <c r="AS16">
        <v>123</v>
      </c>
      <c r="AT16">
        <v>123</v>
      </c>
      <c r="AU16">
        <v>123</v>
      </c>
      <c r="AV16">
        <v>123</v>
      </c>
      <c r="AW16">
        <v>123</v>
      </c>
      <c r="AX16">
        <v>123</v>
      </c>
      <c r="AY16">
        <v>123</v>
      </c>
      <c r="AZ16">
        <v>123</v>
      </c>
      <c r="BA16">
        <v>123</v>
      </c>
      <c r="BB16">
        <v>123</v>
      </c>
      <c r="BC16">
        <v>123</v>
      </c>
      <c r="BD16">
        <v>123</v>
      </c>
      <c r="BE16">
        <v>123</v>
      </c>
      <c r="BF16">
        <v>123</v>
      </c>
      <c r="BG16">
        <v>123</v>
      </c>
      <c r="BH16">
        <v>123</v>
      </c>
      <c r="BI16">
        <v>123</v>
      </c>
      <c r="BJ16">
        <v>123</v>
      </c>
      <c r="BK16">
        <v>123</v>
      </c>
      <c r="BL16">
        <v>123</v>
      </c>
      <c r="BM16">
        <v>123</v>
      </c>
      <c r="BN16">
        <v>123</v>
      </c>
      <c r="BO16">
        <v>123</v>
      </c>
    </row>
    <row r="17" spans="1:67" x14ac:dyDescent="0.45">
      <c r="A17">
        <v>123</v>
      </c>
      <c r="B17">
        <v>123</v>
      </c>
      <c r="C17">
        <v>123</v>
      </c>
      <c r="D17">
        <v>123</v>
      </c>
      <c r="E17">
        <v>123</v>
      </c>
      <c r="F17">
        <v>123</v>
      </c>
      <c r="G17">
        <v>123</v>
      </c>
      <c r="H17">
        <v>123</v>
      </c>
      <c r="I17">
        <v>123</v>
      </c>
      <c r="J17">
        <v>123</v>
      </c>
      <c r="K17">
        <v>123</v>
      </c>
      <c r="L17">
        <v>123</v>
      </c>
      <c r="M17">
        <v>123</v>
      </c>
      <c r="N17">
        <v>123</v>
      </c>
      <c r="O17">
        <v>123</v>
      </c>
      <c r="P17">
        <v>123</v>
      </c>
      <c r="Q17">
        <v>123</v>
      </c>
      <c r="R17">
        <v>123</v>
      </c>
      <c r="S17">
        <v>123</v>
      </c>
      <c r="T17">
        <v>123</v>
      </c>
      <c r="U17">
        <v>123</v>
      </c>
      <c r="V17">
        <v>123</v>
      </c>
      <c r="W17">
        <v>123</v>
      </c>
      <c r="X17">
        <v>123</v>
      </c>
      <c r="Y17">
        <v>123</v>
      </c>
      <c r="Z17">
        <v>123</v>
      </c>
      <c r="AA17">
        <v>123</v>
      </c>
      <c r="AB17">
        <v>123</v>
      </c>
      <c r="AC17">
        <v>123</v>
      </c>
      <c r="AD17">
        <v>123</v>
      </c>
      <c r="AE17">
        <v>123</v>
      </c>
      <c r="AF17">
        <v>123</v>
      </c>
      <c r="AG17">
        <v>123</v>
      </c>
      <c r="AH17">
        <v>123</v>
      </c>
      <c r="AI17">
        <v>123</v>
      </c>
      <c r="AJ17">
        <v>123</v>
      </c>
      <c r="AK17">
        <v>123</v>
      </c>
      <c r="AL17">
        <v>123</v>
      </c>
      <c r="AM17">
        <v>123</v>
      </c>
      <c r="AN17">
        <v>123</v>
      </c>
      <c r="AO17">
        <v>123</v>
      </c>
      <c r="AP17">
        <v>123</v>
      </c>
      <c r="AQ17">
        <v>123</v>
      </c>
      <c r="AR17">
        <v>123</v>
      </c>
      <c r="AS17">
        <v>123</v>
      </c>
      <c r="AT17">
        <v>123</v>
      </c>
      <c r="AU17">
        <v>123</v>
      </c>
      <c r="AV17">
        <v>123</v>
      </c>
      <c r="AW17">
        <v>123</v>
      </c>
      <c r="AX17">
        <v>123</v>
      </c>
      <c r="AY17">
        <v>123</v>
      </c>
      <c r="AZ17">
        <v>123</v>
      </c>
      <c r="BA17">
        <v>123</v>
      </c>
      <c r="BB17">
        <v>123</v>
      </c>
      <c r="BC17">
        <v>123</v>
      </c>
      <c r="BD17">
        <v>123</v>
      </c>
      <c r="BE17">
        <v>123</v>
      </c>
      <c r="BF17">
        <v>123</v>
      </c>
      <c r="BG17">
        <v>123</v>
      </c>
      <c r="BH17">
        <v>123</v>
      </c>
      <c r="BI17">
        <v>123</v>
      </c>
      <c r="BJ17">
        <v>123</v>
      </c>
      <c r="BK17">
        <v>123</v>
      </c>
      <c r="BL17">
        <v>123</v>
      </c>
      <c r="BM17">
        <v>123</v>
      </c>
      <c r="BN17">
        <v>123</v>
      </c>
      <c r="BO17">
        <v>123</v>
      </c>
    </row>
    <row r="18" spans="1:67" x14ac:dyDescent="0.45">
      <c r="A18">
        <v>123</v>
      </c>
      <c r="B18">
        <v>123</v>
      </c>
      <c r="C18">
        <v>123</v>
      </c>
      <c r="D18">
        <v>123</v>
      </c>
      <c r="E18">
        <v>123</v>
      </c>
      <c r="F18">
        <v>123</v>
      </c>
      <c r="G18">
        <v>123</v>
      </c>
      <c r="H18">
        <v>123</v>
      </c>
      <c r="I18">
        <v>123</v>
      </c>
      <c r="J18">
        <v>123</v>
      </c>
      <c r="K18">
        <v>123</v>
      </c>
      <c r="L18">
        <v>123</v>
      </c>
      <c r="M18">
        <v>123</v>
      </c>
      <c r="N18">
        <v>123</v>
      </c>
      <c r="O18">
        <v>123</v>
      </c>
      <c r="P18">
        <v>123</v>
      </c>
      <c r="Q18">
        <v>123</v>
      </c>
      <c r="R18">
        <v>123</v>
      </c>
      <c r="S18">
        <v>123</v>
      </c>
      <c r="T18">
        <v>123</v>
      </c>
      <c r="U18">
        <v>123</v>
      </c>
      <c r="V18">
        <v>123</v>
      </c>
      <c r="W18">
        <v>123</v>
      </c>
      <c r="X18">
        <v>123</v>
      </c>
      <c r="Y18">
        <v>123</v>
      </c>
      <c r="Z18">
        <v>123</v>
      </c>
      <c r="AA18">
        <v>123</v>
      </c>
      <c r="AB18">
        <v>123</v>
      </c>
      <c r="AC18">
        <v>123</v>
      </c>
      <c r="AD18">
        <v>123</v>
      </c>
      <c r="AE18">
        <v>123</v>
      </c>
      <c r="AF18">
        <v>123</v>
      </c>
      <c r="AG18">
        <v>123</v>
      </c>
      <c r="AH18">
        <v>123</v>
      </c>
      <c r="AI18">
        <v>123</v>
      </c>
      <c r="AJ18">
        <v>123</v>
      </c>
      <c r="AK18">
        <v>123</v>
      </c>
      <c r="AL18">
        <v>123</v>
      </c>
      <c r="AM18">
        <v>123</v>
      </c>
      <c r="AN18">
        <v>123</v>
      </c>
      <c r="AO18">
        <v>123</v>
      </c>
      <c r="AP18">
        <v>123</v>
      </c>
      <c r="AQ18">
        <v>123</v>
      </c>
      <c r="AR18">
        <v>123</v>
      </c>
      <c r="AS18">
        <v>123</v>
      </c>
      <c r="AT18">
        <v>123</v>
      </c>
      <c r="AU18">
        <v>123</v>
      </c>
      <c r="AV18">
        <v>123</v>
      </c>
      <c r="AW18">
        <v>123</v>
      </c>
      <c r="AX18">
        <v>123</v>
      </c>
      <c r="AY18">
        <v>123</v>
      </c>
      <c r="AZ18">
        <v>123</v>
      </c>
      <c r="BA18">
        <v>123</v>
      </c>
      <c r="BB18">
        <v>123</v>
      </c>
      <c r="BC18">
        <v>123</v>
      </c>
      <c r="BD18">
        <v>123</v>
      </c>
      <c r="BE18">
        <v>123</v>
      </c>
      <c r="BF18">
        <v>123</v>
      </c>
      <c r="BG18">
        <v>123</v>
      </c>
      <c r="BH18">
        <v>123</v>
      </c>
      <c r="BI18">
        <v>123</v>
      </c>
      <c r="BJ18">
        <v>123</v>
      </c>
      <c r="BK18">
        <v>123</v>
      </c>
      <c r="BL18">
        <v>123</v>
      </c>
      <c r="BM18">
        <v>123</v>
      </c>
      <c r="BN18">
        <v>123</v>
      </c>
      <c r="BO18">
        <v>123</v>
      </c>
    </row>
    <row r="19" spans="1:67" x14ac:dyDescent="0.45">
      <c r="A19">
        <v>123</v>
      </c>
      <c r="B19">
        <v>123</v>
      </c>
      <c r="C19">
        <v>123</v>
      </c>
      <c r="D19">
        <v>123</v>
      </c>
      <c r="E19">
        <v>123</v>
      </c>
      <c r="F19">
        <v>123</v>
      </c>
      <c r="G19">
        <v>123</v>
      </c>
      <c r="H19">
        <v>123</v>
      </c>
      <c r="I19">
        <v>123</v>
      </c>
      <c r="J19">
        <v>123</v>
      </c>
      <c r="K19">
        <v>123</v>
      </c>
      <c r="L19">
        <v>123</v>
      </c>
      <c r="M19">
        <v>123</v>
      </c>
      <c r="N19">
        <v>123</v>
      </c>
      <c r="O19">
        <v>123</v>
      </c>
      <c r="P19">
        <v>123</v>
      </c>
      <c r="Q19">
        <v>123</v>
      </c>
      <c r="R19">
        <v>123</v>
      </c>
      <c r="S19">
        <v>123</v>
      </c>
      <c r="T19">
        <v>123</v>
      </c>
      <c r="U19">
        <v>123</v>
      </c>
      <c r="V19">
        <v>123</v>
      </c>
      <c r="W19">
        <v>123</v>
      </c>
      <c r="X19">
        <v>123</v>
      </c>
      <c r="Y19">
        <v>123</v>
      </c>
      <c r="Z19">
        <v>123</v>
      </c>
      <c r="AA19">
        <v>123</v>
      </c>
      <c r="AB19">
        <v>123</v>
      </c>
      <c r="AC19">
        <v>123</v>
      </c>
      <c r="AD19">
        <v>123</v>
      </c>
      <c r="AE19">
        <v>123</v>
      </c>
      <c r="AF19">
        <v>123</v>
      </c>
      <c r="AG19">
        <v>123</v>
      </c>
      <c r="AH19">
        <v>123</v>
      </c>
      <c r="AI19">
        <v>123</v>
      </c>
      <c r="AJ19">
        <v>123</v>
      </c>
      <c r="AK19">
        <v>123</v>
      </c>
      <c r="AL19">
        <v>123</v>
      </c>
      <c r="AM19">
        <v>123</v>
      </c>
      <c r="AN19">
        <v>123</v>
      </c>
      <c r="AO19">
        <v>123</v>
      </c>
      <c r="AP19">
        <v>123</v>
      </c>
      <c r="AQ19">
        <v>123</v>
      </c>
      <c r="AR19">
        <v>123</v>
      </c>
      <c r="AS19">
        <v>123</v>
      </c>
      <c r="AT19">
        <v>123</v>
      </c>
      <c r="AU19">
        <v>123</v>
      </c>
      <c r="AV19">
        <v>123</v>
      </c>
      <c r="AW19">
        <v>123</v>
      </c>
      <c r="AX19">
        <v>123</v>
      </c>
      <c r="AY19">
        <v>123</v>
      </c>
      <c r="AZ19">
        <v>123</v>
      </c>
      <c r="BA19">
        <v>123</v>
      </c>
      <c r="BB19">
        <v>123</v>
      </c>
      <c r="BC19">
        <v>123</v>
      </c>
      <c r="BD19">
        <v>123</v>
      </c>
      <c r="BE19">
        <v>123</v>
      </c>
      <c r="BF19">
        <v>123</v>
      </c>
      <c r="BG19">
        <v>123</v>
      </c>
      <c r="BH19">
        <v>123</v>
      </c>
      <c r="BI19">
        <v>123</v>
      </c>
      <c r="BJ19">
        <v>123</v>
      </c>
      <c r="BK19">
        <v>123</v>
      </c>
      <c r="BL19">
        <v>123</v>
      </c>
      <c r="BM19">
        <v>123</v>
      </c>
      <c r="BN19">
        <v>123</v>
      </c>
      <c r="BO19">
        <v>123</v>
      </c>
    </row>
    <row r="20" spans="1:67" x14ac:dyDescent="0.45">
      <c r="A20">
        <v>123</v>
      </c>
      <c r="B20">
        <v>123</v>
      </c>
      <c r="C20">
        <v>123</v>
      </c>
      <c r="D20">
        <v>123</v>
      </c>
      <c r="E20">
        <v>123</v>
      </c>
      <c r="F20">
        <v>123</v>
      </c>
      <c r="G20">
        <v>123</v>
      </c>
      <c r="H20">
        <v>123</v>
      </c>
      <c r="I20">
        <v>123</v>
      </c>
      <c r="J20">
        <v>123</v>
      </c>
      <c r="K20">
        <v>123</v>
      </c>
      <c r="L20">
        <v>123</v>
      </c>
      <c r="M20">
        <v>123</v>
      </c>
      <c r="N20">
        <v>123</v>
      </c>
      <c r="O20">
        <v>123</v>
      </c>
      <c r="P20">
        <v>123</v>
      </c>
      <c r="Q20">
        <v>123</v>
      </c>
      <c r="R20">
        <v>123</v>
      </c>
      <c r="S20">
        <v>123</v>
      </c>
      <c r="T20">
        <v>123</v>
      </c>
      <c r="U20">
        <v>123</v>
      </c>
      <c r="V20">
        <v>123</v>
      </c>
      <c r="W20">
        <v>123</v>
      </c>
      <c r="X20">
        <v>123</v>
      </c>
      <c r="Y20">
        <v>123</v>
      </c>
      <c r="Z20">
        <v>123</v>
      </c>
      <c r="AA20">
        <v>123</v>
      </c>
      <c r="AB20">
        <v>123</v>
      </c>
      <c r="AC20">
        <v>123</v>
      </c>
      <c r="AD20">
        <v>123</v>
      </c>
      <c r="AE20">
        <v>123</v>
      </c>
      <c r="AF20">
        <v>123</v>
      </c>
      <c r="AG20">
        <v>123</v>
      </c>
      <c r="AH20">
        <v>123</v>
      </c>
      <c r="AI20">
        <v>123</v>
      </c>
      <c r="AJ20">
        <v>123</v>
      </c>
      <c r="AK20">
        <v>123</v>
      </c>
      <c r="AL20">
        <v>123</v>
      </c>
      <c r="AM20">
        <v>123</v>
      </c>
      <c r="AN20">
        <v>123</v>
      </c>
      <c r="AO20">
        <v>123</v>
      </c>
      <c r="AP20">
        <v>123</v>
      </c>
      <c r="AQ20">
        <v>123</v>
      </c>
      <c r="AR20">
        <v>123</v>
      </c>
      <c r="AS20">
        <v>123</v>
      </c>
      <c r="AT20">
        <v>123</v>
      </c>
      <c r="AU20">
        <v>123</v>
      </c>
      <c r="AV20">
        <v>123</v>
      </c>
      <c r="AW20">
        <v>123</v>
      </c>
      <c r="AX20">
        <v>123</v>
      </c>
      <c r="AY20">
        <v>123</v>
      </c>
      <c r="AZ20">
        <v>123</v>
      </c>
      <c r="BA20">
        <v>123</v>
      </c>
      <c r="BB20">
        <v>123</v>
      </c>
      <c r="BC20">
        <v>123</v>
      </c>
      <c r="BD20">
        <v>123</v>
      </c>
      <c r="BE20">
        <v>123</v>
      </c>
      <c r="BF20">
        <v>123</v>
      </c>
      <c r="BG20">
        <v>123</v>
      </c>
      <c r="BH20">
        <v>123</v>
      </c>
      <c r="BI20">
        <v>123</v>
      </c>
      <c r="BJ20">
        <v>123</v>
      </c>
      <c r="BK20">
        <v>123</v>
      </c>
      <c r="BL20">
        <v>123</v>
      </c>
      <c r="BM20">
        <v>123</v>
      </c>
      <c r="BN20">
        <v>123</v>
      </c>
      <c r="BO20">
        <v>123</v>
      </c>
    </row>
    <row r="21" spans="1:67" x14ac:dyDescent="0.45">
      <c r="A21">
        <v>123</v>
      </c>
      <c r="B21">
        <v>123</v>
      </c>
      <c r="C21">
        <v>123</v>
      </c>
      <c r="D21">
        <v>123</v>
      </c>
      <c r="E21">
        <v>123</v>
      </c>
      <c r="F21">
        <v>123</v>
      </c>
      <c r="G21">
        <v>123</v>
      </c>
      <c r="H21">
        <v>123</v>
      </c>
      <c r="I21">
        <v>123</v>
      </c>
      <c r="J21">
        <v>123</v>
      </c>
      <c r="K21">
        <v>123</v>
      </c>
      <c r="L21">
        <v>123</v>
      </c>
      <c r="M21">
        <v>123</v>
      </c>
      <c r="N21">
        <v>123</v>
      </c>
      <c r="O21">
        <v>123</v>
      </c>
      <c r="P21">
        <v>123</v>
      </c>
      <c r="Q21">
        <v>123</v>
      </c>
      <c r="R21">
        <v>123</v>
      </c>
      <c r="S21">
        <v>123</v>
      </c>
      <c r="T21">
        <v>123</v>
      </c>
      <c r="U21">
        <v>123</v>
      </c>
      <c r="V21">
        <v>123</v>
      </c>
      <c r="W21">
        <v>123</v>
      </c>
      <c r="X21">
        <v>123</v>
      </c>
      <c r="Y21">
        <v>123</v>
      </c>
      <c r="Z21">
        <v>123</v>
      </c>
      <c r="AA21">
        <v>123</v>
      </c>
      <c r="AB21">
        <v>123</v>
      </c>
      <c r="AC21">
        <v>123</v>
      </c>
      <c r="AD21">
        <v>123</v>
      </c>
      <c r="AE21">
        <v>123</v>
      </c>
      <c r="AF21">
        <v>123</v>
      </c>
      <c r="AG21">
        <v>123</v>
      </c>
      <c r="AH21">
        <v>123</v>
      </c>
      <c r="AI21">
        <v>123</v>
      </c>
      <c r="AJ21">
        <v>123</v>
      </c>
      <c r="AK21">
        <v>123</v>
      </c>
      <c r="AL21">
        <v>123</v>
      </c>
      <c r="AM21">
        <v>123</v>
      </c>
      <c r="AN21">
        <v>123</v>
      </c>
      <c r="AO21">
        <v>123</v>
      </c>
      <c r="AP21">
        <v>123</v>
      </c>
      <c r="AQ21">
        <v>123</v>
      </c>
      <c r="AR21">
        <v>123</v>
      </c>
      <c r="AS21">
        <v>123</v>
      </c>
      <c r="AT21">
        <v>123</v>
      </c>
      <c r="AU21">
        <v>123</v>
      </c>
      <c r="AV21">
        <v>123</v>
      </c>
      <c r="AW21">
        <v>123</v>
      </c>
      <c r="AX21">
        <v>123</v>
      </c>
      <c r="AY21">
        <v>123</v>
      </c>
      <c r="AZ21">
        <v>123</v>
      </c>
      <c r="BA21">
        <v>123</v>
      </c>
      <c r="BB21">
        <v>123</v>
      </c>
      <c r="BC21">
        <v>123</v>
      </c>
      <c r="BD21">
        <v>123</v>
      </c>
      <c r="BE21">
        <v>123</v>
      </c>
      <c r="BF21">
        <v>123</v>
      </c>
      <c r="BG21">
        <v>123</v>
      </c>
      <c r="BH21">
        <v>123</v>
      </c>
      <c r="BI21">
        <v>123</v>
      </c>
      <c r="BJ21">
        <v>123</v>
      </c>
      <c r="BK21">
        <v>123</v>
      </c>
      <c r="BL21">
        <v>123</v>
      </c>
      <c r="BM21">
        <v>123</v>
      </c>
      <c r="BN21">
        <v>123</v>
      </c>
      <c r="BO21">
        <v>123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BF072-CB84-45A4-8FA0-A053F6C4EE2F}">
  <dimension ref="A1:D13"/>
  <sheetViews>
    <sheetView zoomScale="175" zoomScaleNormal="175" workbookViewId="0">
      <selection activeCell="B4" sqref="B4"/>
    </sheetView>
  </sheetViews>
  <sheetFormatPr defaultRowHeight="18" x14ac:dyDescent="0.45"/>
  <cols>
    <col min="1" max="1" width="17" bestFit="1" customWidth="1"/>
    <col min="2" max="2" width="18.19921875" bestFit="1" customWidth="1"/>
    <col min="3" max="3" width="5" bestFit="1" customWidth="1"/>
    <col min="4" max="4" width="7.3984375" bestFit="1" customWidth="1"/>
  </cols>
  <sheetData>
    <row r="1" spans="1:4" x14ac:dyDescent="0.45">
      <c r="A1" s="4" t="s">
        <v>181</v>
      </c>
    </row>
    <row r="3" spans="1:4" x14ac:dyDescent="0.45">
      <c r="A3" s="2" t="s">
        <v>56</v>
      </c>
      <c r="B3" s="3" t="s">
        <v>81</v>
      </c>
      <c r="C3" s="3" t="s">
        <v>98</v>
      </c>
      <c r="D3" s="3" t="s">
        <v>74</v>
      </c>
    </row>
    <row r="4" spans="1:4" x14ac:dyDescent="0.45">
      <c r="A4" s="1">
        <v>45597</v>
      </c>
      <c r="B4" t="s">
        <v>84</v>
      </c>
      <c r="C4">
        <v>30</v>
      </c>
      <c r="D4">
        <v>20000</v>
      </c>
    </row>
    <row r="5" spans="1:4" x14ac:dyDescent="0.45">
      <c r="A5" s="1">
        <v>45598</v>
      </c>
      <c r="B5" t="s">
        <v>86</v>
      </c>
      <c r="C5">
        <v>20</v>
      </c>
      <c r="D5">
        <v>104000</v>
      </c>
    </row>
    <row r="6" spans="1:4" x14ac:dyDescent="0.45">
      <c r="A6" s="1">
        <v>45599</v>
      </c>
      <c r="B6" t="s">
        <v>88</v>
      </c>
      <c r="C6">
        <v>25</v>
      </c>
      <c r="D6">
        <v>4000</v>
      </c>
    </row>
    <row r="7" spans="1:4" x14ac:dyDescent="0.45">
      <c r="A7" s="1">
        <v>45600</v>
      </c>
      <c r="B7" t="s">
        <v>90</v>
      </c>
      <c r="C7">
        <v>13</v>
      </c>
      <c r="D7">
        <v>1500</v>
      </c>
    </row>
    <row r="8" spans="1:4" x14ac:dyDescent="0.45">
      <c r="A8" s="1">
        <v>45601</v>
      </c>
      <c r="B8" t="s">
        <v>92</v>
      </c>
      <c r="C8">
        <v>14</v>
      </c>
      <c r="D8">
        <v>144000</v>
      </c>
    </row>
    <row r="9" spans="1:4" x14ac:dyDescent="0.45">
      <c r="A9" s="1">
        <v>45602</v>
      </c>
      <c r="B9" t="s">
        <v>84</v>
      </c>
      <c r="C9">
        <v>28</v>
      </c>
      <c r="D9">
        <v>20000</v>
      </c>
    </row>
    <row r="10" spans="1:4" x14ac:dyDescent="0.45">
      <c r="A10" s="1">
        <v>45603</v>
      </c>
      <c r="B10" t="s">
        <v>90</v>
      </c>
      <c r="C10">
        <v>18</v>
      </c>
      <c r="D10">
        <v>900</v>
      </c>
    </row>
    <row r="11" spans="1:4" x14ac:dyDescent="0.45">
      <c r="A11" s="1">
        <v>45604</v>
      </c>
      <c r="B11" t="s">
        <v>92</v>
      </c>
      <c r="C11">
        <v>30</v>
      </c>
      <c r="D11">
        <v>168000</v>
      </c>
    </row>
    <row r="12" spans="1:4" x14ac:dyDescent="0.45">
      <c r="A12" s="1">
        <v>45605</v>
      </c>
      <c r="B12" t="s">
        <v>86</v>
      </c>
      <c r="C12">
        <v>15</v>
      </c>
      <c r="D12">
        <v>88000</v>
      </c>
    </row>
    <row r="13" spans="1:4" x14ac:dyDescent="0.45">
      <c r="A13" s="1">
        <v>45606</v>
      </c>
      <c r="B13" t="s">
        <v>88</v>
      </c>
      <c r="C13">
        <v>18</v>
      </c>
      <c r="D13">
        <v>6500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079A9-C4DE-4A95-B8BC-7BFA752852BA}">
  <dimension ref="A7:B13"/>
  <sheetViews>
    <sheetView topLeftCell="A6" zoomScale="205" zoomScaleNormal="205" workbookViewId="0">
      <selection activeCell="C9" sqref="C9"/>
    </sheetView>
  </sheetViews>
  <sheetFormatPr defaultRowHeight="18" x14ac:dyDescent="0.45"/>
  <cols>
    <col min="1" max="1" width="16.69921875" bestFit="1" customWidth="1"/>
  </cols>
  <sheetData>
    <row r="7" spans="1:2" x14ac:dyDescent="0.45">
      <c r="A7" s="4" t="s">
        <v>28</v>
      </c>
    </row>
    <row r="8" spans="1:2" x14ac:dyDescent="0.45">
      <c r="A8" s="2" t="s">
        <v>0</v>
      </c>
      <c r="B8" s="3" t="s">
        <v>18</v>
      </c>
    </row>
    <row r="9" spans="1:2" x14ac:dyDescent="0.45">
      <c r="A9" s="21">
        <v>45606</v>
      </c>
      <c r="B9" s="22">
        <v>2000</v>
      </c>
    </row>
    <row r="10" spans="1:2" x14ac:dyDescent="0.45">
      <c r="A10" s="21">
        <v>45607</v>
      </c>
      <c r="B10" s="22">
        <v>1000</v>
      </c>
    </row>
    <row r="11" spans="1:2" x14ac:dyDescent="0.45">
      <c r="A11" s="21">
        <v>45608</v>
      </c>
      <c r="B11" s="22">
        <v>800</v>
      </c>
    </row>
    <row r="12" spans="1:2" x14ac:dyDescent="0.45">
      <c r="A12" s="21">
        <v>45609</v>
      </c>
      <c r="B12" s="22">
        <v>5000</v>
      </c>
    </row>
    <row r="13" spans="1:2" x14ac:dyDescent="0.45">
      <c r="A13" s="21">
        <v>45610</v>
      </c>
      <c r="B13" s="22">
        <v>3000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0CE1E-4C42-41C6-8A32-66469F8583EE}">
  <dimension ref="A1:C9"/>
  <sheetViews>
    <sheetView tabSelected="1" zoomScale="175" zoomScaleNormal="175" workbookViewId="0">
      <selection activeCell="A7" sqref="A7"/>
    </sheetView>
  </sheetViews>
  <sheetFormatPr defaultRowHeight="18" x14ac:dyDescent="0.45"/>
  <cols>
    <col min="1" max="1" width="10.69921875" customWidth="1"/>
    <col min="2" max="2" width="10.3984375" customWidth="1"/>
    <col min="3" max="3" width="11.19921875" customWidth="1"/>
  </cols>
  <sheetData>
    <row r="1" spans="1:3" x14ac:dyDescent="0.45">
      <c r="A1" s="2" t="s">
        <v>0</v>
      </c>
      <c r="B1" s="3" t="s">
        <v>1</v>
      </c>
      <c r="C1" s="3" t="s">
        <v>2</v>
      </c>
    </row>
    <row r="2" spans="1:3" x14ac:dyDescent="0.45">
      <c r="A2" s="1">
        <v>45606</v>
      </c>
      <c r="B2" t="s">
        <v>3</v>
      </c>
      <c r="C2" t="s">
        <v>8</v>
      </c>
    </row>
    <row r="3" spans="1:3" x14ac:dyDescent="0.45">
      <c r="A3" s="1">
        <v>45607</v>
      </c>
      <c r="B3" t="s">
        <v>4</v>
      </c>
      <c r="C3" t="s">
        <v>9</v>
      </c>
    </row>
    <row r="4" spans="1:3" x14ac:dyDescent="0.45">
      <c r="A4" s="1">
        <v>45608</v>
      </c>
      <c r="B4" t="s">
        <v>5</v>
      </c>
      <c r="C4" t="s">
        <v>10</v>
      </c>
    </row>
    <row r="5" spans="1:3" x14ac:dyDescent="0.45">
      <c r="A5" s="1">
        <v>45609</v>
      </c>
      <c r="B5" t="s">
        <v>6</v>
      </c>
      <c r="C5" t="s">
        <v>11</v>
      </c>
    </row>
    <row r="6" spans="1:3" x14ac:dyDescent="0.45">
      <c r="A6" s="1">
        <v>45610</v>
      </c>
      <c r="B6" t="s">
        <v>7</v>
      </c>
      <c r="C6" t="s">
        <v>12</v>
      </c>
    </row>
    <row r="7" spans="1:3" x14ac:dyDescent="0.45">
      <c r="C7" t="s">
        <v>108</v>
      </c>
    </row>
    <row r="9" spans="1:3" x14ac:dyDescent="0.45">
      <c r="C9" t="s">
        <v>110</v>
      </c>
    </row>
  </sheetData>
  <phoneticPr fontId="2"/>
  <dataValidations count="2">
    <dataValidation type="date" operator="greaterThanOrEqual" allowBlank="1" showInputMessage="1" showErrorMessage="1" sqref="A1" xr:uid="{837615D8-369C-4902-9BD2-2A165FCF1A03}">
      <formula1>31</formula1>
    </dataValidation>
    <dataValidation type="date" operator="greaterThanOrEqual" allowBlank="1" showInputMessage="1" showErrorMessage="1" errorTitle="入力エラー" error="日付形式で入力してください_x000a_" sqref="A2:A1048576" xr:uid="{5E393560-E463-46D3-B5AE-2ECC86393615}">
      <formula1>31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FD08AE2-6B06-44D4-B41C-9F383BF1B0E5}">
          <x14:formula1>
            <xm:f>プランリスト!$A$2:$A$6</xm:f>
          </x14:formula1>
          <xm:sqref>C2:C500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CC6E-808C-44F7-AF5A-5FD50B1516BD}">
  <dimension ref="A1:A6"/>
  <sheetViews>
    <sheetView workbookViewId="0">
      <selection activeCell="C2" sqref="C2"/>
    </sheetView>
  </sheetViews>
  <sheetFormatPr defaultRowHeight="18" x14ac:dyDescent="0.45"/>
  <sheetData>
    <row r="1" spans="1:1" x14ac:dyDescent="0.45">
      <c r="A1" s="3" t="s">
        <v>2</v>
      </c>
    </row>
    <row r="2" spans="1:1" x14ac:dyDescent="0.45">
      <c r="A2" t="s">
        <v>8</v>
      </c>
    </row>
    <row r="3" spans="1:1" x14ac:dyDescent="0.45">
      <c r="A3" t="s">
        <v>9</v>
      </c>
    </row>
    <row r="4" spans="1:1" x14ac:dyDescent="0.45">
      <c r="A4" t="s">
        <v>10</v>
      </c>
    </row>
    <row r="5" spans="1:1" x14ac:dyDescent="0.45">
      <c r="A5" t="s">
        <v>11</v>
      </c>
    </row>
    <row r="6" spans="1:1" x14ac:dyDescent="0.45">
      <c r="A6" t="s">
        <v>12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824E-7C9E-4E4A-B762-07BCDC945975}">
  <dimension ref="A1:I21"/>
  <sheetViews>
    <sheetView zoomScale="175" zoomScaleNormal="175" workbookViewId="0">
      <selection activeCell="C6" sqref="C6"/>
    </sheetView>
  </sheetViews>
  <sheetFormatPr defaultRowHeight="18" x14ac:dyDescent="0.45"/>
  <cols>
    <col min="1" max="1" width="35.59765625" customWidth="1"/>
    <col min="2" max="2" width="14.3984375" bestFit="1" customWidth="1"/>
    <col min="3" max="3" width="12.59765625" bestFit="1" customWidth="1"/>
  </cols>
  <sheetData>
    <row r="1" spans="1:9" x14ac:dyDescent="0.45">
      <c r="A1" s="2" t="s">
        <v>29</v>
      </c>
      <c r="B1" s="8" t="s">
        <v>30</v>
      </c>
      <c r="C1" s="8" t="s">
        <v>31</v>
      </c>
    </row>
    <row r="2" spans="1:9" x14ac:dyDescent="0.45">
      <c r="A2" s="23" t="s">
        <v>189</v>
      </c>
      <c r="B2" t="s">
        <v>190</v>
      </c>
      <c r="C2" t="s">
        <v>204</v>
      </c>
    </row>
    <row r="3" spans="1:9" x14ac:dyDescent="0.45">
      <c r="A3" s="1" t="s">
        <v>46</v>
      </c>
      <c r="B3" t="s">
        <v>191</v>
      </c>
      <c r="C3" t="s">
        <v>204</v>
      </c>
    </row>
    <row r="4" spans="1:9" x14ac:dyDescent="0.45">
      <c r="A4" s="1" t="s">
        <v>47</v>
      </c>
      <c r="B4" t="s">
        <v>192</v>
      </c>
      <c r="C4" t="s">
        <v>204</v>
      </c>
    </row>
    <row r="5" spans="1:9" x14ac:dyDescent="0.45">
      <c r="A5" s="1" t="s">
        <v>48</v>
      </c>
      <c r="B5" t="s">
        <v>193</v>
      </c>
      <c r="C5" t="s">
        <v>204</v>
      </c>
    </row>
    <row r="6" spans="1:9" x14ac:dyDescent="0.45">
      <c r="A6" s="1" t="s">
        <v>49</v>
      </c>
      <c r="B6" t="s">
        <v>194</v>
      </c>
      <c r="C6" t="s">
        <v>204</v>
      </c>
    </row>
    <row r="7" spans="1:9" x14ac:dyDescent="0.45">
      <c r="A7" s="1" t="s">
        <v>50</v>
      </c>
      <c r="B7" t="s">
        <v>195</v>
      </c>
      <c r="C7" t="s">
        <v>204</v>
      </c>
    </row>
    <row r="8" spans="1:9" x14ac:dyDescent="0.45">
      <c r="A8" t="s">
        <v>32</v>
      </c>
      <c r="B8" t="s">
        <v>196</v>
      </c>
      <c r="C8" t="s">
        <v>204</v>
      </c>
    </row>
    <row r="9" spans="1:9" x14ac:dyDescent="0.45">
      <c r="A9" t="s">
        <v>33</v>
      </c>
      <c r="B9" t="s">
        <v>197</v>
      </c>
      <c r="C9" t="s">
        <v>204</v>
      </c>
    </row>
    <row r="10" spans="1:9" x14ac:dyDescent="0.45">
      <c r="A10" t="s">
        <v>34</v>
      </c>
      <c r="B10" t="s">
        <v>198</v>
      </c>
      <c r="C10" t="s">
        <v>204</v>
      </c>
    </row>
    <row r="11" spans="1:9" x14ac:dyDescent="0.45">
      <c r="A11" t="s">
        <v>35</v>
      </c>
      <c r="B11" t="s">
        <v>199</v>
      </c>
      <c r="C11" t="s">
        <v>204</v>
      </c>
    </row>
    <row r="12" spans="1:9" x14ac:dyDescent="0.45">
      <c r="A12" t="s">
        <v>36</v>
      </c>
      <c r="B12" t="s">
        <v>200</v>
      </c>
      <c r="C12" t="s">
        <v>204</v>
      </c>
    </row>
    <row r="13" spans="1:9" x14ac:dyDescent="0.45">
      <c r="A13" t="s">
        <v>37</v>
      </c>
      <c r="B13" t="s">
        <v>201</v>
      </c>
      <c r="C13" t="s">
        <v>204</v>
      </c>
    </row>
    <row r="14" spans="1:9" x14ac:dyDescent="0.45">
      <c r="A14" t="s">
        <v>38</v>
      </c>
      <c r="B14" t="s">
        <v>202</v>
      </c>
      <c r="C14" t="s">
        <v>204</v>
      </c>
    </row>
    <row r="15" spans="1:9" x14ac:dyDescent="0.45">
      <c r="A15" t="s">
        <v>39</v>
      </c>
      <c r="B15" t="s">
        <v>203</v>
      </c>
      <c r="C15" t="s">
        <v>204</v>
      </c>
      <c r="I15" s="7"/>
    </row>
    <row r="16" spans="1:9" x14ac:dyDescent="0.45">
      <c r="A16" t="s">
        <v>40</v>
      </c>
      <c r="B16" t="s">
        <v>205</v>
      </c>
      <c r="C16" t="s">
        <v>204</v>
      </c>
    </row>
    <row r="17" spans="1:3" x14ac:dyDescent="0.45">
      <c r="A17" t="s">
        <v>41</v>
      </c>
      <c r="B17" t="s">
        <v>206</v>
      </c>
      <c r="C17" t="s">
        <v>204</v>
      </c>
    </row>
    <row r="18" spans="1:3" x14ac:dyDescent="0.45">
      <c r="A18" t="s">
        <v>42</v>
      </c>
      <c r="B18" t="s">
        <v>207</v>
      </c>
      <c r="C18" t="s">
        <v>204</v>
      </c>
    </row>
    <row r="19" spans="1:3" x14ac:dyDescent="0.45">
      <c r="A19" t="s">
        <v>43</v>
      </c>
      <c r="B19" t="s">
        <v>208</v>
      </c>
      <c r="C19" t="s">
        <v>204</v>
      </c>
    </row>
    <row r="20" spans="1:3" x14ac:dyDescent="0.45">
      <c r="A20" t="s">
        <v>44</v>
      </c>
      <c r="B20" t="s">
        <v>209</v>
      </c>
      <c r="C20" t="s">
        <v>204</v>
      </c>
    </row>
    <row r="21" spans="1:3" x14ac:dyDescent="0.45">
      <c r="A21" t="s">
        <v>45</v>
      </c>
      <c r="B21" t="s">
        <v>210</v>
      </c>
      <c r="C21" t="s">
        <v>204</v>
      </c>
    </row>
  </sheetData>
  <phoneticPr fontId="2"/>
  <hyperlinks>
    <hyperlink ref="A2" r:id="rId1" xr:uid="{DECC5ABC-3FAE-4DC9-82D9-BFBE4126CD8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CF7CC-5CE5-42E2-981C-6A07151A1122}">
  <dimension ref="A1:D6"/>
  <sheetViews>
    <sheetView zoomScale="175" zoomScaleNormal="175" workbookViewId="0">
      <selection activeCell="D3" sqref="D3"/>
    </sheetView>
  </sheetViews>
  <sheetFormatPr defaultRowHeight="18" x14ac:dyDescent="0.45"/>
  <cols>
    <col min="1" max="1" width="12.69921875" customWidth="1"/>
  </cols>
  <sheetData>
    <row r="1" spans="1:4" x14ac:dyDescent="0.45">
      <c r="A1" s="2" t="s">
        <v>0</v>
      </c>
      <c r="B1" s="3" t="s">
        <v>18</v>
      </c>
      <c r="D1" s="9" t="s">
        <v>51</v>
      </c>
    </row>
    <row r="2" spans="1:4" x14ac:dyDescent="0.45">
      <c r="A2" s="5">
        <v>45606</v>
      </c>
      <c r="B2">
        <v>2000</v>
      </c>
      <c r="D2" s="24">
        <f>SUM(B2:B6)</f>
        <v>11800</v>
      </c>
    </row>
    <row r="3" spans="1:4" x14ac:dyDescent="0.45">
      <c r="A3" s="5">
        <v>45607</v>
      </c>
      <c r="B3">
        <v>1000</v>
      </c>
    </row>
    <row r="4" spans="1:4" x14ac:dyDescent="0.45">
      <c r="A4" s="5">
        <v>45608</v>
      </c>
      <c r="B4">
        <v>800</v>
      </c>
    </row>
    <row r="5" spans="1:4" x14ac:dyDescent="0.45">
      <c r="A5" s="5">
        <v>45609</v>
      </c>
      <c r="B5">
        <v>5000</v>
      </c>
    </row>
    <row r="6" spans="1:4" x14ac:dyDescent="0.45">
      <c r="A6" s="5">
        <v>45610</v>
      </c>
      <c r="B6">
        <v>3000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26B4-9934-4044-8D0A-72ADE65F7B2D}">
  <dimension ref="A1:F13"/>
  <sheetViews>
    <sheetView zoomScale="145" zoomScaleNormal="145" workbookViewId="0">
      <selection activeCell="D5" sqref="D5"/>
    </sheetView>
  </sheetViews>
  <sheetFormatPr defaultRowHeight="18" x14ac:dyDescent="0.45"/>
  <sheetData>
    <row r="1" spans="1:6" x14ac:dyDescent="0.45">
      <c r="A1" s="10" t="s">
        <v>55</v>
      </c>
      <c r="B1" s="10" t="s">
        <v>52</v>
      </c>
      <c r="C1" s="11" t="s">
        <v>53</v>
      </c>
      <c r="D1" s="11" t="s">
        <v>54</v>
      </c>
    </row>
    <row r="2" spans="1:6" x14ac:dyDescent="0.45">
      <c r="A2" s="7">
        <v>4</v>
      </c>
      <c r="B2">
        <v>100000</v>
      </c>
      <c r="C2">
        <v>98000</v>
      </c>
      <c r="D2" t="str">
        <f>IF(B2&lt;C2, "達成", "未達")</f>
        <v>未達</v>
      </c>
      <c r="F2" t="s">
        <v>211</v>
      </c>
    </row>
    <row r="3" spans="1:6" x14ac:dyDescent="0.45">
      <c r="A3" s="7">
        <v>5</v>
      </c>
      <c r="B3">
        <v>120000</v>
      </c>
      <c r="C3">
        <v>115000</v>
      </c>
      <c r="D3" t="str">
        <f t="shared" ref="D3:D13" si="0">IF(B3&lt;C3, "達成", "未達")</f>
        <v>未達</v>
      </c>
    </row>
    <row r="4" spans="1:6" x14ac:dyDescent="0.45">
      <c r="A4" s="7">
        <v>6</v>
      </c>
      <c r="B4">
        <v>150000</v>
      </c>
      <c r="C4">
        <v>148000</v>
      </c>
      <c r="D4" t="str">
        <f t="shared" si="0"/>
        <v>未達</v>
      </c>
      <c r="F4" t="str">
        <f>IF(B2&lt;C2, "達成", "未達")</f>
        <v>未達</v>
      </c>
    </row>
    <row r="5" spans="1:6" x14ac:dyDescent="0.45">
      <c r="A5" s="7">
        <v>7</v>
      </c>
      <c r="B5">
        <v>128000</v>
      </c>
      <c r="C5">
        <v>130000</v>
      </c>
      <c r="D5" t="str">
        <f t="shared" si="0"/>
        <v>達成</v>
      </c>
    </row>
    <row r="6" spans="1:6" x14ac:dyDescent="0.45">
      <c r="A6" s="7">
        <v>8</v>
      </c>
      <c r="B6">
        <v>140000</v>
      </c>
      <c r="C6">
        <v>135000</v>
      </c>
      <c r="D6" t="str">
        <f t="shared" si="0"/>
        <v>未達</v>
      </c>
    </row>
    <row r="7" spans="1:6" x14ac:dyDescent="0.45">
      <c r="A7" s="7">
        <v>9</v>
      </c>
      <c r="B7">
        <v>158000</v>
      </c>
      <c r="C7">
        <v>160000</v>
      </c>
      <c r="D7" t="str">
        <f t="shared" si="0"/>
        <v>達成</v>
      </c>
    </row>
    <row r="8" spans="1:6" x14ac:dyDescent="0.45">
      <c r="A8" s="7">
        <v>10</v>
      </c>
      <c r="B8">
        <v>170000</v>
      </c>
      <c r="C8">
        <v>165000</v>
      </c>
      <c r="D8" t="str">
        <f t="shared" si="0"/>
        <v>未達</v>
      </c>
      <c r="E8" t="s">
        <v>185</v>
      </c>
    </row>
    <row r="9" spans="1:6" x14ac:dyDescent="0.45">
      <c r="A9" s="7">
        <v>11</v>
      </c>
      <c r="B9">
        <v>180000</v>
      </c>
      <c r="C9">
        <v>175000</v>
      </c>
      <c r="D9" t="str">
        <f t="shared" si="0"/>
        <v>未達</v>
      </c>
    </row>
    <row r="10" spans="1:6" x14ac:dyDescent="0.45">
      <c r="A10" s="7">
        <v>12</v>
      </c>
      <c r="B10">
        <v>185000</v>
      </c>
      <c r="C10">
        <v>190000</v>
      </c>
      <c r="D10" t="str">
        <f t="shared" si="0"/>
        <v>達成</v>
      </c>
    </row>
    <row r="11" spans="1:6" x14ac:dyDescent="0.45">
      <c r="A11" s="7">
        <v>1</v>
      </c>
      <c r="B11">
        <v>110000</v>
      </c>
      <c r="C11">
        <v>105000</v>
      </c>
      <c r="D11" t="str">
        <f t="shared" si="0"/>
        <v>未達</v>
      </c>
    </row>
    <row r="12" spans="1:6" x14ac:dyDescent="0.45">
      <c r="A12" s="7">
        <v>2</v>
      </c>
      <c r="B12">
        <v>120000</v>
      </c>
      <c r="C12">
        <v>118000</v>
      </c>
      <c r="D12" t="str">
        <f t="shared" si="0"/>
        <v>未達</v>
      </c>
    </row>
    <row r="13" spans="1:6" x14ac:dyDescent="0.45">
      <c r="A13" s="7">
        <v>3</v>
      </c>
      <c r="B13">
        <v>130000</v>
      </c>
      <c r="C13">
        <v>128000</v>
      </c>
      <c r="D13" t="str">
        <f t="shared" si="0"/>
        <v>未達</v>
      </c>
    </row>
  </sheetData>
  <phoneticPr fontId="2"/>
  <conditionalFormatting sqref="A2:D4 A6:D13 B5:D5">
    <cfRule type="expression" dxfId="5" priority="1">
      <formula>$D2="達成"</formula>
    </cfRule>
  </conditionalFormatting>
  <conditionalFormatting sqref="A5">
    <cfRule type="expression" dxfId="4" priority="3">
      <formula>$D5="達成"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8238-64AC-4258-B0E0-12A42FF5E150}">
  <dimension ref="A1:G6"/>
  <sheetViews>
    <sheetView topLeftCell="B1" zoomScale="128" zoomScaleNormal="175" workbookViewId="0">
      <selection activeCell="E3" sqref="E3"/>
    </sheetView>
  </sheetViews>
  <sheetFormatPr defaultRowHeight="18" x14ac:dyDescent="0.45"/>
  <cols>
    <col min="6" max="6" width="8.796875" bestFit="1" customWidth="1"/>
  </cols>
  <sheetData>
    <row r="1" spans="1:7" x14ac:dyDescent="0.45">
      <c r="A1" s="2" t="s">
        <v>58</v>
      </c>
      <c r="B1" s="3" t="s">
        <v>1</v>
      </c>
      <c r="C1" s="2" t="s">
        <v>59</v>
      </c>
      <c r="E1" s="2" t="s">
        <v>58</v>
      </c>
      <c r="F1" s="3" t="s">
        <v>1</v>
      </c>
      <c r="G1" s="2" t="s">
        <v>59</v>
      </c>
    </row>
    <row r="2" spans="1:7" x14ac:dyDescent="0.45">
      <c r="A2" t="s">
        <v>65</v>
      </c>
      <c r="B2" t="s">
        <v>3</v>
      </c>
      <c r="C2" t="s">
        <v>60</v>
      </c>
      <c r="E2" t="s">
        <v>65</v>
      </c>
      <c r="F2" t="str">
        <f>VLOOKUP($E$2,$A$2:$C$6,2,FALSE)</f>
        <v>田中太郎</v>
      </c>
      <c r="G2" t="str">
        <f>VLOOKUP($E$2,$A$2:$C$6,3,FALSE)</f>
        <v>総務部</v>
      </c>
    </row>
    <row r="3" spans="1:7" x14ac:dyDescent="0.45">
      <c r="A3" t="s">
        <v>66</v>
      </c>
      <c r="B3" t="s">
        <v>4</v>
      </c>
      <c r="C3" t="s">
        <v>61</v>
      </c>
    </row>
    <row r="4" spans="1:7" x14ac:dyDescent="0.45">
      <c r="A4" t="s">
        <v>67</v>
      </c>
      <c r="B4" t="s">
        <v>5</v>
      </c>
      <c r="C4" t="s">
        <v>62</v>
      </c>
    </row>
    <row r="5" spans="1:7" x14ac:dyDescent="0.45">
      <c r="A5" t="s">
        <v>68</v>
      </c>
      <c r="B5" t="s">
        <v>6</v>
      </c>
      <c r="C5" t="s">
        <v>63</v>
      </c>
    </row>
    <row r="6" spans="1:7" x14ac:dyDescent="0.45">
      <c r="A6" t="s">
        <v>69</v>
      </c>
      <c r="B6" t="s">
        <v>7</v>
      </c>
      <c r="C6" t="s">
        <v>64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1E985-2D72-40FA-9CF7-15C387A44FB6}">
  <dimension ref="A1:G11"/>
  <sheetViews>
    <sheetView zoomScale="101" zoomScaleNormal="175" workbookViewId="0">
      <selection activeCell="E13" sqref="E13"/>
    </sheetView>
  </sheetViews>
  <sheetFormatPr defaultRowHeight="18" x14ac:dyDescent="0.45"/>
  <cols>
    <col min="1" max="1" width="9.5" bestFit="1" customWidth="1"/>
    <col min="2" max="2" width="7.19921875" bestFit="1" customWidth="1"/>
    <col min="3" max="3" width="12.8984375" bestFit="1" customWidth="1"/>
    <col min="4" max="4" width="18.69921875" bestFit="1" customWidth="1"/>
    <col min="5" max="5" width="6.796875" bestFit="1" customWidth="1"/>
    <col min="6" max="6" width="5.09765625" bestFit="1" customWidth="1"/>
    <col min="7" max="7" width="7.8984375" bestFit="1" customWidth="1"/>
  </cols>
  <sheetData>
    <row r="1" spans="1:7" x14ac:dyDescent="0.45">
      <c r="A1" s="2" t="s">
        <v>57</v>
      </c>
      <c r="B1" s="3" t="s">
        <v>71</v>
      </c>
      <c r="C1" s="3" t="s">
        <v>94</v>
      </c>
      <c r="D1" s="3" t="s">
        <v>19</v>
      </c>
      <c r="E1" s="3" t="s">
        <v>95</v>
      </c>
      <c r="F1" s="3" t="s">
        <v>73</v>
      </c>
      <c r="G1" s="3" t="s">
        <v>18</v>
      </c>
    </row>
    <row r="2" spans="1:7" x14ac:dyDescent="0.45">
      <c r="A2" s="1">
        <v>45597</v>
      </c>
      <c r="B2" t="s">
        <v>75</v>
      </c>
      <c r="C2" t="str">
        <f>VLOOKUP($B2, 商品マスタ!$A:$D, 2, FALSE)</f>
        <v>ファッション</v>
      </c>
      <c r="D2" t="str">
        <f>VLOOKUP($B2, 商品マスタ!$A:$D, 3, FALSE)</f>
        <v>Tシャツ</v>
      </c>
      <c r="E2">
        <f>VLOOKUP($B2, 商品マスタ!$A:$D, 4, FALSE)</f>
        <v>2000</v>
      </c>
      <c r="F2">
        <v>10</v>
      </c>
      <c r="G2">
        <f>E2*F2</f>
        <v>20000</v>
      </c>
    </row>
    <row r="3" spans="1:7" x14ac:dyDescent="0.45">
      <c r="A3" s="1">
        <v>45598</v>
      </c>
      <c r="B3" t="s">
        <v>77</v>
      </c>
      <c r="C3" t="str">
        <f>VLOOKUP($B3, 商品マスタ!$A:$D, 2, FALSE)</f>
        <v>食品</v>
      </c>
      <c r="D3" t="str">
        <f>VLOOKUP($B3, 商品マスタ!$A:$D, 3, FALSE)</f>
        <v>チョコレート</v>
      </c>
      <c r="E3">
        <f>VLOOKUP($B3, 商品マスタ!$A:$D, 4, FALSE)</f>
        <v>500</v>
      </c>
      <c r="F3">
        <v>13</v>
      </c>
      <c r="G3">
        <f t="shared" ref="G3:G11" si="0">E3*F3</f>
        <v>6500</v>
      </c>
    </row>
    <row r="4" spans="1:7" x14ac:dyDescent="0.45">
      <c r="A4" s="1">
        <v>45599</v>
      </c>
      <c r="B4" t="s">
        <v>78</v>
      </c>
      <c r="C4" t="str">
        <f>VLOOKUP($B4, 商品マスタ!$A:$D, 2, FALSE)</f>
        <v>スポーツ用品</v>
      </c>
      <c r="D4" t="str">
        <f>VLOOKUP($B4, 商品マスタ!$A:$D, 3, FALSE)</f>
        <v>ランニングシューズ</v>
      </c>
      <c r="E4">
        <f>VLOOKUP($B4, 商品マスタ!$A:$D, 4, FALSE)</f>
        <v>12000</v>
      </c>
      <c r="F4">
        <v>8</v>
      </c>
      <c r="G4">
        <f t="shared" si="0"/>
        <v>96000</v>
      </c>
    </row>
    <row r="5" spans="1:7" x14ac:dyDescent="0.45">
      <c r="A5" s="1">
        <v>45600</v>
      </c>
      <c r="B5" t="s">
        <v>79</v>
      </c>
      <c r="C5" t="str">
        <f>VLOOKUP($B5, 商品マスタ!$A:$D, 2, FALSE)</f>
        <v>家電</v>
      </c>
      <c r="D5" t="str">
        <f>VLOOKUP($B5, 商品マスタ!$A:$D, 3, FALSE)</f>
        <v>ヘッドホン</v>
      </c>
      <c r="E5">
        <f>VLOOKUP($B5, 商品マスタ!$A:$D, 4, FALSE)</f>
        <v>8000</v>
      </c>
      <c r="F5">
        <v>15</v>
      </c>
      <c r="G5">
        <f t="shared" si="0"/>
        <v>120000</v>
      </c>
    </row>
    <row r="6" spans="1:7" x14ac:dyDescent="0.45">
      <c r="A6" s="1">
        <v>45601</v>
      </c>
      <c r="B6" t="s">
        <v>76</v>
      </c>
      <c r="C6" t="str">
        <f>VLOOKUP($B6, 商品マスタ!$A:$D, 2, FALSE)</f>
        <v>文房具</v>
      </c>
      <c r="D6" t="str">
        <f>VLOOKUP($B6, 商品マスタ!$A:$D, 3, FALSE)</f>
        <v>ボールペン</v>
      </c>
      <c r="E6">
        <f>VLOOKUP($B6, 商品マスタ!$A:$D, 4, FALSE)</f>
        <v>100</v>
      </c>
      <c r="F6">
        <v>12</v>
      </c>
      <c r="G6">
        <f t="shared" si="0"/>
        <v>1200</v>
      </c>
    </row>
    <row r="7" spans="1:7" x14ac:dyDescent="0.45">
      <c r="A7" s="1">
        <v>45602</v>
      </c>
      <c r="B7" t="s">
        <v>75</v>
      </c>
      <c r="C7" t="str">
        <f>VLOOKUP($B7, 商品マスタ!$A:$D, 2, FALSE)</f>
        <v>ファッション</v>
      </c>
      <c r="D7" t="str">
        <f>VLOOKUP($B7, 商品マスタ!$A:$D, 3, FALSE)</f>
        <v>Tシャツ</v>
      </c>
      <c r="E7">
        <f>VLOOKUP($B7, 商品マスタ!$A:$D, 4, FALSE)</f>
        <v>2000</v>
      </c>
      <c r="F7">
        <v>10</v>
      </c>
      <c r="G7">
        <f t="shared" si="0"/>
        <v>20000</v>
      </c>
    </row>
    <row r="8" spans="1:7" x14ac:dyDescent="0.45">
      <c r="A8" s="1">
        <v>45603</v>
      </c>
      <c r="B8" t="s">
        <v>76</v>
      </c>
      <c r="C8" t="str">
        <f>VLOOKUP($B8, 商品マスタ!$A:$D, 2, FALSE)</f>
        <v>文房具</v>
      </c>
      <c r="D8" t="str">
        <f>VLOOKUP($B8, 商品マスタ!$A:$D, 3, FALSE)</f>
        <v>ボールペン</v>
      </c>
      <c r="E8">
        <f>VLOOKUP($B8, 商品マスタ!$A:$D, 4, FALSE)</f>
        <v>100</v>
      </c>
      <c r="F8">
        <v>9</v>
      </c>
      <c r="G8">
        <f t="shared" si="0"/>
        <v>900</v>
      </c>
    </row>
    <row r="9" spans="1:7" x14ac:dyDescent="0.45">
      <c r="A9" s="1">
        <v>45604</v>
      </c>
      <c r="B9" t="s">
        <v>78</v>
      </c>
      <c r="C9" t="str">
        <f>VLOOKUP($B9, 商品マスタ!$A:$D, 2, FALSE)</f>
        <v>スポーツ用品</v>
      </c>
      <c r="D9" t="str">
        <f>VLOOKUP($B9, 商品マスタ!$A:$D, 3, FALSE)</f>
        <v>ランニングシューズ</v>
      </c>
      <c r="E9">
        <f>VLOOKUP($B9, 商品マスタ!$A:$D, 4, FALSE)</f>
        <v>12000</v>
      </c>
      <c r="F9">
        <v>14</v>
      </c>
      <c r="G9">
        <f t="shared" si="0"/>
        <v>168000</v>
      </c>
    </row>
    <row r="10" spans="1:7" x14ac:dyDescent="0.45">
      <c r="A10" s="1">
        <v>45605</v>
      </c>
      <c r="B10" t="s">
        <v>79</v>
      </c>
      <c r="C10" t="str">
        <f>VLOOKUP($B10, 商品マスタ!$A:$D, 2, FALSE)</f>
        <v>家電</v>
      </c>
      <c r="D10" t="str">
        <f>VLOOKUP($B10, 商品マスタ!$A:$D, 3, FALSE)</f>
        <v>ヘッドホン</v>
      </c>
      <c r="E10">
        <f>VLOOKUP($B10, 商品マスタ!$A:$D, 4, FALSE)</f>
        <v>8000</v>
      </c>
      <c r="F10">
        <v>11</v>
      </c>
      <c r="G10">
        <f t="shared" si="0"/>
        <v>88000</v>
      </c>
    </row>
    <row r="11" spans="1:7" x14ac:dyDescent="0.45">
      <c r="A11" s="1">
        <v>45606</v>
      </c>
      <c r="B11" t="s">
        <v>77</v>
      </c>
      <c r="C11" t="str">
        <f>VLOOKUP($B11, 商品マスタ!$A:$D, 2, FALSE)</f>
        <v>食品</v>
      </c>
      <c r="D11" t="str">
        <f>VLOOKUP($B11, 商品マスタ!$A:$D, 3, FALSE)</f>
        <v>チョコレート</v>
      </c>
      <c r="E11">
        <f>VLOOKUP($B11, 商品マスタ!$A:$D, 4, FALSE)</f>
        <v>500</v>
      </c>
      <c r="F11">
        <v>13</v>
      </c>
      <c r="G11">
        <f t="shared" si="0"/>
        <v>6500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4F1CD-B742-48EA-9779-B09159C10450}">
  <dimension ref="A1:D6"/>
  <sheetViews>
    <sheetView zoomScale="175" zoomScaleNormal="175" workbookViewId="0"/>
  </sheetViews>
  <sheetFormatPr defaultRowHeight="18" x14ac:dyDescent="0.45"/>
  <cols>
    <col min="1" max="1" width="6.796875" bestFit="1" customWidth="1"/>
    <col min="2" max="2" width="15" bestFit="1" customWidth="1"/>
  </cols>
  <sheetData>
    <row r="1" spans="1:4" x14ac:dyDescent="0.45">
      <c r="A1" s="12" t="s">
        <v>70</v>
      </c>
      <c r="B1" s="13" t="s">
        <v>80</v>
      </c>
      <c r="C1" s="13" t="s">
        <v>81</v>
      </c>
      <c r="D1" s="13" t="s">
        <v>82</v>
      </c>
    </row>
    <row r="2" spans="1:4" x14ac:dyDescent="0.45">
      <c r="A2" t="s">
        <v>75</v>
      </c>
      <c r="B2" t="s">
        <v>83</v>
      </c>
      <c r="C2" t="s">
        <v>84</v>
      </c>
      <c r="D2">
        <v>2000</v>
      </c>
    </row>
    <row r="3" spans="1:4" x14ac:dyDescent="0.45">
      <c r="A3" t="s">
        <v>79</v>
      </c>
      <c r="B3" t="s">
        <v>85</v>
      </c>
      <c r="C3" t="s">
        <v>86</v>
      </c>
      <c r="D3">
        <v>8000</v>
      </c>
    </row>
    <row r="4" spans="1:4" x14ac:dyDescent="0.45">
      <c r="A4" t="s">
        <v>77</v>
      </c>
      <c r="B4" t="s">
        <v>87</v>
      </c>
      <c r="C4" t="s">
        <v>88</v>
      </c>
      <c r="D4">
        <v>500</v>
      </c>
    </row>
    <row r="5" spans="1:4" x14ac:dyDescent="0.45">
      <c r="A5" t="s">
        <v>76</v>
      </c>
      <c r="B5" t="s">
        <v>89</v>
      </c>
      <c r="C5" t="s">
        <v>90</v>
      </c>
      <c r="D5">
        <v>100</v>
      </c>
    </row>
    <row r="6" spans="1:4" x14ac:dyDescent="0.45">
      <c r="A6" t="s">
        <v>78</v>
      </c>
      <c r="B6" t="s">
        <v>91</v>
      </c>
      <c r="C6" t="s">
        <v>92</v>
      </c>
      <c r="D6">
        <v>12000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A038-4979-476E-B9A4-27F248836BE7}">
  <dimension ref="A1:F11"/>
  <sheetViews>
    <sheetView topLeftCell="B1" zoomScale="160" zoomScaleNormal="160" workbookViewId="0">
      <selection activeCell="F4" sqref="F4"/>
    </sheetView>
  </sheetViews>
  <sheetFormatPr defaultRowHeight="18" x14ac:dyDescent="0.45"/>
  <cols>
    <col min="2" max="2" width="11.09765625" customWidth="1"/>
    <col min="5" max="5" width="18.19921875" bestFit="1" customWidth="1"/>
  </cols>
  <sheetData>
    <row r="1" spans="1:6" x14ac:dyDescent="0.45">
      <c r="A1" s="2" t="s">
        <v>56</v>
      </c>
      <c r="B1" s="3" t="s">
        <v>81</v>
      </c>
      <c r="C1" s="3" t="s">
        <v>74</v>
      </c>
      <c r="E1" s="3" t="s">
        <v>96</v>
      </c>
      <c r="F1" s="3" t="s">
        <v>97</v>
      </c>
    </row>
    <row r="2" spans="1:6" x14ac:dyDescent="0.45">
      <c r="A2" s="1">
        <v>45597</v>
      </c>
      <c r="B2" t="s">
        <v>84</v>
      </c>
      <c r="C2">
        <v>20000</v>
      </c>
      <c r="E2" t="str" cm="1">
        <f t="array" ref="E2:E6">_xlfn.UNIQUE(B2:B11)</f>
        <v>Tシャツ</v>
      </c>
      <c r="F2">
        <f>SUMIF($B$2:$B$11, E2, $C$2:$C$11)</f>
        <v>40000</v>
      </c>
    </row>
    <row r="3" spans="1:6" x14ac:dyDescent="0.45">
      <c r="A3" s="1">
        <v>45598</v>
      </c>
      <c r="B3" t="s">
        <v>86</v>
      </c>
      <c r="C3">
        <v>104000</v>
      </c>
      <c r="E3" t="str">
        <v>ヘッドホン</v>
      </c>
      <c r="F3">
        <f t="shared" ref="F3:F6" si="0">SUMIF($B$2:$B$11, E3, $C$2:$C$11)</f>
        <v>192000</v>
      </c>
    </row>
    <row r="4" spans="1:6" x14ac:dyDescent="0.45">
      <c r="A4" s="1">
        <v>45599</v>
      </c>
      <c r="B4" t="s">
        <v>88</v>
      </c>
      <c r="C4">
        <v>4000</v>
      </c>
      <c r="E4" t="str">
        <v>チョコレート</v>
      </c>
      <c r="F4">
        <f t="shared" si="0"/>
        <v>10500</v>
      </c>
    </row>
    <row r="5" spans="1:6" x14ac:dyDescent="0.45">
      <c r="A5" s="1">
        <v>45600</v>
      </c>
      <c r="B5" t="s">
        <v>90</v>
      </c>
      <c r="C5">
        <v>1500</v>
      </c>
      <c r="E5" t="str">
        <v>ボールペン</v>
      </c>
      <c r="F5">
        <f t="shared" si="0"/>
        <v>2400</v>
      </c>
    </row>
    <row r="6" spans="1:6" x14ac:dyDescent="0.45">
      <c r="A6" s="1">
        <v>45601</v>
      </c>
      <c r="B6" t="s">
        <v>92</v>
      </c>
      <c r="C6">
        <v>144000</v>
      </c>
      <c r="E6" t="str">
        <v>ランニングシューズ</v>
      </c>
      <c r="F6">
        <f t="shared" si="0"/>
        <v>312000</v>
      </c>
    </row>
    <row r="7" spans="1:6" x14ac:dyDescent="0.45">
      <c r="A7" s="1">
        <v>45602</v>
      </c>
      <c r="B7" t="s">
        <v>84</v>
      </c>
      <c r="C7">
        <v>20000</v>
      </c>
    </row>
    <row r="8" spans="1:6" x14ac:dyDescent="0.45">
      <c r="A8" s="1">
        <v>45603</v>
      </c>
      <c r="B8" t="s">
        <v>90</v>
      </c>
      <c r="C8">
        <v>900</v>
      </c>
    </row>
    <row r="9" spans="1:6" x14ac:dyDescent="0.45">
      <c r="A9" s="1">
        <v>45604</v>
      </c>
      <c r="B9" t="s">
        <v>92</v>
      </c>
      <c r="C9">
        <v>168000</v>
      </c>
    </row>
    <row r="10" spans="1:6" x14ac:dyDescent="0.45">
      <c r="A10" s="1">
        <v>45605</v>
      </c>
      <c r="B10" t="s">
        <v>86</v>
      </c>
      <c r="C10">
        <v>88000</v>
      </c>
    </row>
    <row r="11" spans="1:6" x14ac:dyDescent="0.45">
      <c r="A11" s="1">
        <v>45606</v>
      </c>
      <c r="B11" t="s">
        <v>88</v>
      </c>
      <c r="C11">
        <v>6500</v>
      </c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3A2D2-1C7C-4F3C-A4DD-6001D99309B4}">
  <dimension ref="A1:E11"/>
  <sheetViews>
    <sheetView topLeftCell="C1" zoomScale="183" zoomScaleNormal="190" workbookViewId="0">
      <selection activeCell="B5" sqref="B5"/>
    </sheetView>
  </sheetViews>
  <sheetFormatPr defaultRowHeight="18" x14ac:dyDescent="0.45"/>
  <cols>
    <col min="1" max="1" width="9" bestFit="1" customWidth="1"/>
    <col min="2" max="2" width="18.19921875" bestFit="1" customWidth="1"/>
    <col min="4" max="4" width="18.19921875" bestFit="1" customWidth="1"/>
    <col min="5" max="5" width="8.59765625" bestFit="1" customWidth="1"/>
  </cols>
  <sheetData>
    <row r="1" spans="1:5" x14ac:dyDescent="0.45">
      <c r="A1" s="2" t="s">
        <v>56</v>
      </c>
      <c r="B1" s="3" t="s">
        <v>81</v>
      </c>
      <c r="D1" s="3" t="s">
        <v>96</v>
      </c>
      <c r="E1" s="3" t="s">
        <v>99</v>
      </c>
    </row>
    <row r="2" spans="1:5" x14ac:dyDescent="0.45">
      <c r="A2" s="1">
        <v>45597</v>
      </c>
      <c r="B2" t="s">
        <v>84</v>
      </c>
      <c r="D2" t="str" cm="1">
        <f t="array" ref="D2:D6">_xlfn.UNIQUE(B2:B11)</f>
        <v>Tシャツ</v>
      </c>
      <c r="E2">
        <f>COUNTIF($B$2:$B$11, D2)</f>
        <v>3</v>
      </c>
    </row>
    <row r="3" spans="1:5" x14ac:dyDescent="0.45">
      <c r="A3" s="1">
        <v>45598</v>
      </c>
      <c r="B3" t="s">
        <v>86</v>
      </c>
      <c r="D3" t="str">
        <v>ヘッドホン</v>
      </c>
      <c r="E3">
        <f t="shared" ref="E3:E6" si="0">COUNTIF($B$2:$B$11, D3)</f>
        <v>2</v>
      </c>
    </row>
    <row r="4" spans="1:5" x14ac:dyDescent="0.45">
      <c r="A4" s="1">
        <v>45599</v>
      </c>
      <c r="B4" t="s">
        <v>212</v>
      </c>
      <c r="D4" t="str">
        <v>ボールペン</v>
      </c>
      <c r="E4">
        <f t="shared" si="0"/>
        <v>2</v>
      </c>
    </row>
    <row r="5" spans="1:5" x14ac:dyDescent="0.45">
      <c r="A5" s="1">
        <v>45600</v>
      </c>
      <c r="B5" t="s">
        <v>90</v>
      </c>
      <c r="D5" t="str">
        <v>ランニングシューズ</v>
      </c>
      <c r="E5">
        <f t="shared" si="0"/>
        <v>2</v>
      </c>
    </row>
    <row r="6" spans="1:5" x14ac:dyDescent="0.45">
      <c r="A6" s="1">
        <v>45601</v>
      </c>
      <c r="B6" t="s">
        <v>92</v>
      </c>
      <c r="D6" t="str">
        <v>チョコレート</v>
      </c>
      <c r="E6">
        <f t="shared" si="0"/>
        <v>1</v>
      </c>
    </row>
    <row r="7" spans="1:5" x14ac:dyDescent="0.45">
      <c r="A7" s="1">
        <v>45602</v>
      </c>
      <c r="B7" t="s">
        <v>84</v>
      </c>
    </row>
    <row r="8" spans="1:5" x14ac:dyDescent="0.45">
      <c r="A8" s="1">
        <v>45603</v>
      </c>
      <c r="B8" t="s">
        <v>90</v>
      </c>
    </row>
    <row r="9" spans="1:5" x14ac:dyDescent="0.45">
      <c r="A9" s="1">
        <v>45604</v>
      </c>
      <c r="B9" t="s">
        <v>92</v>
      </c>
    </row>
    <row r="10" spans="1:5" x14ac:dyDescent="0.45">
      <c r="A10" s="1">
        <v>45605</v>
      </c>
      <c r="B10" t="s">
        <v>86</v>
      </c>
    </row>
    <row r="11" spans="1:5" x14ac:dyDescent="0.45">
      <c r="A11" s="1">
        <v>45606</v>
      </c>
      <c r="B11" t="s">
        <v>88</v>
      </c>
    </row>
  </sheetData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C874B-D0BE-4687-8D87-8527E32B1DD1}">
  <dimension ref="A1:G11"/>
  <sheetViews>
    <sheetView zoomScale="60" zoomScaleNormal="190" workbookViewId="0">
      <selection activeCell="K4" sqref="K4"/>
    </sheetView>
  </sheetViews>
  <sheetFormatPr defaultRowHeight="18" x14ac:dyDescent="0.45"/>
  <cols>
    <col min="1" max="1" width="9" bestFit="1" customWidth="1"/>
    <col min="2" max="2" width="18.19921875" bestFit="1" customWidth="1"/>
    <col min="3" max="3" width="5" bestFit="1" customWidth="1"/>
    <col min="4" max="4" width="7.3984375" bestFit="1" customWidth="1"/>
    <col min="6" max="6" width="18.19921875" bestFit="1" customWidth="1"/>
  </cols>
  <sheetData>
    <row r="1" spans="1:7" x14ac:dyDescent="0.45">
      <c r="A1" s="2" t="s">
        <v>56</v>
      </c>
      <c r="B1" s="3" t="s">
        <v>81</v>
      </c>
      <c r="C1" s="3" t="s">
        <v>98</v>
      </c>
      <c r="D1" s="3" t="s">
        <v>74</v>
      </c>
      <c r="F1" s="3" t="s">
        <v>213</v>
      </c>
      <c r="G1" s="3" t="s">
        <v>74</v>
      </c>
    </row>
    <row r="2" spans="1:7" x14ac:dyDescent="0.45">
      <c r="A2" s="1">
        <v>45597</v>
      </c>
      <c r="B2" t="s">
        <v>84</v>
      </c>
      <c r="C2">
        <v>30</v>
      </c>
      <c r="D2">
        <v>20000</v>
      </c>
      <c r="F2" t="str" cm="1">
        <f t="array" ref="F2:F6">_xlfn.UNIQUE(B2:B11)</f>
        <v>Tシャツ</v>
      </c>
      <c r="G2" s="19">
        <f>SUMIF($B$2:$B$11, F2, $D$2:$D$11)</f>
        <v>40000</v>
      </c>
    </row>
    <row r="3" spans="1:7" x14ac:dyDescent="0.45">
      <c r="A3" s="1">
        <v>45598</v>
      </c>
      <c r="B3" t="s">
        <v>86</v>
      </c>
      <c r="C3">
        <v>20</v>
      </c>
      <c r="D3">
        <v>104000</v>
      </c>
      <c r="F3" t="str">
        <v>ヘッドホン</v>
      </c>
      <c r="G3" s="19">
        <f t="shared" ref="G3:G6" si="0">SUMIF($B$2:$B$11, F3, $D$2:$D$11)</f>
        <v>192000</v>
      </c>
    </row>
    <row r="4" spans="1:7" x14ac:dyDescent="0.45">
      <c r="A4" s="1">
        <v>45599</v>
      </c>
      <c r="B4" t="s">
        <v>88</v>
      </c>
      <c r="C4">
        <v>25</v>
      </c>
      <c r="D4">
        <v>4000</v>
      </c>
      <c r="F4" t="str">
        <v>チョコレート</v>
      </c>
      <c r="G4" s="19">
        <f t="shared" si="0"/>
        <v>10500</v>
      </c>
    </row>
    <row r="5" spans="1:7" x14ac:dyDescent="0.45">
      <c r="A5" s="1">
        <v>45600</v>
      </c>
      <c r="B5" t="s">
        <v>90</v>
      </c>
      <c r="C5">
        <v>13</v>
      </c>
      <c r="D5">
        <v>1500</v>
      </c>
      <c r="F5" t="str">
        <v>ボールペン</v>
      </c>
      <c r="G5" s="19">
        <f t="shared" si="0"/>
        <v>2400</v>
      </c>
    </row>
    <row r="6" spans="1:7" x14ac:dyDescent="0.45">
      <c r="A6" s="1">
        <v>45601</v>
      </c>
      <c r="B6" t="s">
        <v>92</v>
      </c>
      <c r="C6">
        <v>14</v>
      </c>
      <c r="D6">
        <v>144000</v>
      </c>
      <c r="F6" t="str">
        <v>ランニングシューズ</v>
      </c>
      <c r="G6" s="19">
        <f t="shared" si="0"/>
        <v>312000</v>
      </c>
    </row>
    <row r="7" spans="1:7" x14ac:dyDescent="0.45">
      <c r="A7" s="1">
        <v>45602</v>
      </c>
      <c r="B7" t="s">
        <v>84</v>
      </c>
      <c r="C7">
        <v>28</v>
      </c>
      <c r="D7">
        <v>20000</v>
      </c>
    </row>
    <row r="8" spans="1:7" x14ac:dyDescent="0.45">
      <c r="A8" s="1">
        <v>45603</v>
      </c>
      <c r="B8" t="s">
        <v>90</v>
      </c>
      <c r="C8">
        <v>18</v>
      </c>
      <c r="D8">
        <v>900</v>
      </c>
    </row>
    <row r="9" spans="1:7" x14ac:dyDescent="0.45">
      <c r="A9" s="1">
        <v>45604</v>
      </c>
      <c r="B9" t="s">
        <v>92</v>
      </c>
      <c r="C9">
        <v>30</v>
      </c>
      <c r="D9">
        <v>168000</v>
      </c>
    </row>
    <row r="10" spans="1:7" x14ac:dyDescent="0.45">
      <c r="A10" s="1">
        <v>45605</v>
      </c>
      <c r="B10" t="s">
        <v>86</v>
      </c>
      <c r="C10">
        <v>15</v>
      </c>
      <c r="D10">
        <v>88000</v>
      </c>
    </row>
    <row r="11" spans="1:7" x14ac:dyDescent="0.45">
      <c r="A11" s="1">
        <v>45606</v>
      </c>
      <c r="B11" t="s">
        <v>88</v>
      </c>
      <c r="C11">
        <v>18</v>
      </c>
      <c r="D11">
        <v>6500</v>
      </c>
    </row>
  </sheetData>
  <phoneticPr fontId="2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2557-65D6-4EFA-AE42-7528521EE3A1}">
  <dimension ref="A1:E13"/>
  <sheetViews>
    <sheetView zoomScale="123" zoomScaleNormal="175" workbookViewId="0">
      <selection activeCell="B2" sqref="B2:B13"/>
    </sheetView>
  </sheetViews>
  <sheetFormatPr defaultRowHeight="18" x14ac:dyDescent="0.45"/>
  <cols>
    <col min="1" max="1" width="9.296875" bestFit="1" customWidth="1"/>
    <col min="2" max="2" width="18.5" bestFit="1" customWidth="1"/>
    <col min="3" max="3" width="3.3984375" bestFit="1" customWidth="1"/>
    <col min="4" max="4" width="7.69921875" bestFit="1" customWidth="1"/>
  </cols>
  <sheetData>
    <row r="1" spans="1:5" x14ac:dyDescent="0.45">
      <c r="A1" s="2" t="s">
        <v>56</v>
      </c>
      <c r="B1" s="3" t="s">
        <v>213</v>
      </c>
      <c r="C1" s="3" t="s">
        <v>98</v>
      </c>
      <c r="D1" s="3" t="s">
        <v>74</v>
      </c>
      <c r="E1" s="3" t="s">
        <v>214</v>
      </c>
    </row>
    <row r="2" spans="1:5" x14ac:dyDescent="0.45">
      <c r="A2" s="1">
        <v>45597</v>
      </c>
      <c r="B2" t="s">
        <v>84</v>
      </c>
      <c r="C2">
        <v>30</v>
      </c>
      <c r="D2">
        <v>20000</v>
      </c>
      <c r="E2">
        <f>テーブル1[[#This Row],[売上]]*1.1</f>
        <v>22000</v>
      </c>
    </row>
    <row r="3" spans="1:5" x14ac:dyDescent="0.45">
      <c r="A3" s="1">
        <v>45598</v>
      </c>
      <c r="B3" t="s">
        <v>86</v>
      </c>
      <c r="C3">
        <v>20</v>
      </c>
      <c r="D3">
        <v>104000</v>
      </c>
      <c r="E3">
        <f>テーブル1[[#This Row],[売上]]*1.1</f>
        <v>114400.00000000001</v>
      </c>
    </row>
    <row r="4" spans="1:5" x14ac:dyDescent="0.45">
      <c r="A4" s="1">
        <v>45599</v>
      </c>
      <c r="B4" t="s">
        <v>88</v>
      </c>
      <c r="C4">
        <v>25</v>
      </c>
      <c r="D4">
        <v>4000</v>
      </c>
      <c r="E4">
        <f>テーブル1[[#This Row],[売上]]*1.1</f>
        <v>4400</v>
      </c>
    </row>
    <row r="5" spans="1:5" x14ac:dyDescent="0.45">
      <c r="A5" s="1">
        <v>45600</v>
      </c>
      <c r="B5" t="s">
        <v>90</v>
      </c>
      <c r="C5">
        <v>13</v>
      </c>
      <c r="D5">
        <v>1500</v>
      </c>
      <c r="E5">
        <f>テーブル1[[#This Row],[売上]]*1.1</f>
        <v>1650.0000000000002</v>
      </c>
    </row>
    <row r="6" spans="1:5" x14ac:dyDescent="0.45">
      <c r="A6" s="1">
        <v>45601</v>
      </c>
      <c r="B6" t="s">
        <v>92</v>
      </c>
      <c r="C6">
        <v>14</v>
      </c>
      <c r="D6">
        <v>144000</v>
      </c>
      <c r="E6">
        <f>テーブル1[[#This Row],[売上]]*1.1</f>
        <v>158400</v>
      </c>
    </row>
    <row r="7" spans="1:5" x14ac:dyDescent="0.45">
      <c r="A7" s="1">
        <v>45602</v>
      </c>
      <c r="B7" t="s">
        <v>84</v>
      </c>
      <c r="C7">
        <v>28</v>
      </c>
      <c r="D7">
        <v>20000</v>
      </c>
      <c r="E7">
        <f>テーブル1[[#This Row],[売上]]*1.1</f>
        <v>22000</v>
      </c>
    </row>
    <row r="8" spans="1:5" x14ac:dyDescent="0.45">
      <c r="A8" s="1">
        <v>45603</v>
      </c>
      <c r="B8" t="s">
        <v>90</v>
      </c>
      <c r="C8">
        <v>18</v>
      </c>
      <c r="D8">
        <v>900</v>
      </c>
      <c r="E8">
        <f>テーブル1[[#This Row],[売上]]*1.1</f>
        <v>990.00000000000011</v>
      </c>
    </row>
    <row r="9" spans="1:5" x14ac:dyDescent="0.45">
      <c r="A9" s="1">
        <v>45604</v>
      </c>
      <c r="B9" t="s">
        <v>92</v>
      </c>
      <c r="C9">
        <v>30</v>
      </c>
      <c r="D9">
        <v>168000</v>
      </c>
      <c r="E9">
        <f>テーブル1[[#This Row],[売上]]*1.1</f>
        <v>184800.00000000003</v>
      </c>
    </row>
    <row r="10" spans="1:5" x14ac:dyDescent="0.45">
      <c r="A10" s="1">
        <v>45605</v>
      </c>
      <c r="B10" t="s">
        <v>86</v>
      </c>
      <c r="C10">
        <v>15</v>
      </c>
      <c r="D10">
        <v>88000</v>
      </c>
      <c r="E10">
        <f>テーブル1[[#This Row],[売上]]*1.1</f>
        <v>96800.000000000015</v>
      </c>
    </row>
    <row r="11" spans="1:5" x14ac:dyDescent="0.45">
      <c r="A11" s="1">
        <v>45606</v>
      </c>
      <c r="B11" t="s">
        <v>88</v>
      </c>
      <c r="C11">
        <v>18</v>
      </c>
      <c r="D11">
        <v>6500</v>
      </c>
      <c r="E11">
        <f>テーブル1[[#This Row],[売上]]*1.1</f>
        <v>7150.0000000000009</v>
      </c>
    </row>
    <row r="12" spans="1:5" x14ac:dyDescent="0.45">
      <c r="A12" s="1">
        <v>45607</v>
      </c>
      <c r="B12" t="s">
        <v>92</v>
      </c>
      <c r="C12">
        <v>20</v>
      </c>
      <c r="D12">
        <v>104000</v>
      </c>
      <c r="E12" s="25">
        <f>テーブル1[[#This Row],[売上]]*1.1</f>
        <v>114400.00000000001</v>
      </c>
    </row>
    <row r="13" spans="1:5" x14ac:dyDescent="0.45">
      <c r="A13" s="1">
        <v>46338</v>
      </c>
      <c r="B13" t="s">
        <v>215</v>
      </c>
      <c r="E13" s="25">
        <f>テーブル1[[#This Row],[売上]]*1.1</f>
        <v>0</v>
      </c>
    </row>
  </sheetData>
  <phoneticPr fontId="2"/>
  <dataValidations count="1">
    <dataValidation type="list" allowBlank="1" showInputMessage="1" showErrorMessage="1" sqref="B2:B13" xr:uid="{1807458B-5E99-42E7-9694-5DE982AB161B}">
      <formula1>INDIRECT("T_商品名一覧[商品名]")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B5077-6135-4A2A-B740-32985BCBEF68}">
  <dimension ref="A1:A8"/>
  <sheetViews>
    <sheetView zoomScale="175" zoomScaleNormal="175" workbookViewId="0">
      <selection activeCell="A8" sqref="A8"/>
    </sheetView>
  </sheetViews>
  <sheetFormatPr defaultRowHeight="18" x14ac:dyDescent="0.45"/>
  <cols>
    <col min="1" max="1" width="17.8984375" customWidth="1"/>
  </cols>
  <sheetData>
    <row r="1" spans="1:1" x14ac:dyDescent="0.45">
      <c r="A1" s="3" t="s">
        <v>81</v>
      </c>
    </row>
    <row r="2" spans="1:1" x14ac:dyDescent="0.45">
      <c r="A2" t="s">
        <v>84</v>
      </c>
    </row>
    <row r="3" spans="1:1" x14ac:dyDescent="0.45">
      <c r="A3" t="s">
        <v>86</v>
      </c>
    </row>
    <row r="4" spans="1:1" x14ac:dyDescent="0.45">
      <c r="A4" t="s">
        <v>88</v>
      </c>
    </row>
    <row r="5" spans="1:1" x14ac:dyDescent="0.45">
      <c r="A5" t="s">
        <v>90</v>
      </c>
    </row>
    <row r="6" spans="1:1" x14ac:dyDescent="0.45">
      <c r="A6" t="s">
        <v>92</v>
      </c>
    </row>
    <row r="7" spans="1:1" x14ac:dyDescent="0.45">
      <c r="A7" t="s">
        <v>215</v>
      </c>
    </row>
    <row r="8" spans="1:1" x14ac:dyDescent="0.45">
      <c r="A8" t="s">
        <v>216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461D-B304-49AB-AFBA-3A7221F3D3CE}">
  <dimension ref="A1:F12"/>
  <sheetViews>
    <sheetView topLeftCell="B1" zoomScale="175" zoomScaleNormal="175" workbookViewId="0">
      <selection activeCell="D12" sqref="D12"/>
    </sheetView>
  </sheetViews>
  <sheetFormatPr defaultRowHeight="18" x14ac:dyDescent="0.45"/>
  <cols>
    <col min="1" max="1" width="10.69921875" customWidth="1"/>
    <col min="2" max="2" width="22.19921875" customWidth="1"/>
    <col min="3" max="3" width="14.3984375" customWidth="1"/>
    <col min="4" max="4" width="11.19921875" customWidth="1"/>
  </cols>
  <sheetData>
    <row r="1" spans="1:6" x14ac:dyDescent="0.45">
      <c r="A1" s="2" t="s">
        <v>56</v>
      </c>
      <c r="B1" s="2" t="s">
        <v>93</v>
      </c>
      <c r="C1" s="3" t="s">
        <v>81</v>
      </c>
      <c r="D1" s="3" t="s">
        <v>72</v>
      </c>
      <c r="E1" s="3" t="s">
        <v>74</v>
      </c>
      <c r="F1" s="3" t="s">
        <v>217</v>
      </c>
    </row>
    <row r="2" spans="1:6" x14ac:dyDescent="0.45">
      <c r="A2" s="1">
        <v>45597</v>
      </c>
      <c r="B2" s="1" t="s">
        <v>83</v>
      </c>
      <c r="C2" t="s">
        <v>84</v>
      </c>
      <c r="D2">
        <v>30</v>
      </c>
      <c r="E2">
        <v>20000</v>
      </c>
      <c r="F2" t="s">
        <v>218</v>
      </c>
    </row>
    <row r="3" spans="1:6" x14ac:dyDescent="0.45">
      <c r="A3" s="1">
        <v>45598</v>
      </c>
      <c r="B3" s="1" t="s">
        <v>85</v>
      </c>
      <c r="C3" t="s">
        <v>86</v>
      </c>
      <c r="D3">
        <v>20</v>
      </c>
      <c r="E3">
        <v>104000</v>
      </c>
      <c r="F3" t="s">
        <v>219</v>
      </c>
    </row>
    <row r="4" spans="1:6" x14ac:dyDescent="0.45">
      <c r="A4" s="1">
        <v>45599</v>
      </c>
      <c r="B4" s="1" t="s">
        <v>87</v>
      </c>
      <c r="C4" t="s">
        <v>222</v>
      </c>
      <c r="D4">
        <v>25</v>
      </c>
      <c r="E4">
        <v>4000</v>
      </c>
      <c r="F4" t="s">
        <v>220</v>
      </c>
    </row>
    <row r="5" spans="1:6" x14ac:dyDescent="0.45">
      <c r="A5" s="1">
        <v>45600</v>
      </c>
      <c r="B5" s="1" t="s">
        <v>89</v>
      </c>
      <c r="C5" t="s">
        <v>90</v>
      </c>
      <c r="D5">
        <v>13</v>
      </c>
      <c r="E5">
        <v>1500</v>
      </c>
      <c r="F5" t="s">
        <v>218</v>
      </c>
    </row>
    <row r="6" spans="1:6" x14ac:dyDescent="0.45">
      <c r="A6" s="1">
        <v>45601</v>
      </c>
      <c r="B6" s="1" t="s">
        <v>91</v>
      </c>
      <c r="C6" t="s">
        <v>92</v>
      </c>
      <c r="D6">
        <v>14</v>
      </c>
      <c r="E6">
        <v>144000</v>
      </c>
      <c r="F6" t="s">
        <v>219</v>
      </c>
    </row>
    <row r="7" spans="1:6" x14ac:dyDescent="0.45">
      <c r="A7" s="1">
        <v>45602</v>
      </c>
      <c r="B7" s="1" t="s">
        <v>83</v>
      </c>
      <c r="C7" t="s">
        <v>84</v>
      </c>
      <c r="D7">
        <v>28</v>
      </c>
      <c r="E7">
        <v>20000</v>
      </c>
      <c r="F7" t="s">
        <v>220</v>
      </c>
    </row>
    <row r="8" spans="1:6" x14ac:dyDescent="0.45">
      <c r="A8" s="1">
        <v>45603</v>
      </c>
      <c r="B8" s="1" t="s">
        <v>89</v>
      </c>
      <c r="C8" t="s">
        <v>90</v>
      </c>
      <c r="D8">
        <v>18</v>
      </c>
      <c r="E8">
        <v>900</v>
      </c>
      <c r="F8" t="s">
        <v>218</v>
      </c>
    </row>
    <row r="9" spans="1:6" x14ac:dyDescent="0.45">
      <c r="A9" s="1">
        <v>45604</v>
      </c>
      <c r="B9" s="1" t="s">
        <v>91</v>
      </c>
      <c r="C9" t="s">
        <v>92</v>
      </c>
      <c r="D9">
        <v>30</v>
      </c>
      <c r="E9">
        <v>168000</v>
      </c>
      <c r="F9" t="s">
        <v>219</v>
      </c>
    </row>
    <row r="10" spans="1:6" x14ac:dyDescent="0.45">
      <c r="A10" s="1">
        <v>45605</v>
      </c>
      <c r="B10" s="1" t="s">
        <v>85</v>
      </c>
      <c r="C10" t="s">
        <v>86</v>
      </c>
      <c r="D10">
        <v>15</v>
      </c>
      <c r="E10">
        <v>88000</v>
      </c>
      <c r="F10" t="s">
        <v>220</v>
      </c>
    </row>
    <row r="11" spans="1:6" x14ac:dyDescent="0.45">
      <c r="A11" s="1">
        <v>45606</v>
      </c>
      <c r="B11" s="1" t="s">
        <v>87</v>
      </c>
      <c r="C11" t="s">
        <v>88</v>
      </c>
      <c r="D11">
        <v>18</v>
      </c>
      <c r="E11">
        <v>6500</v>
      </c>
      <c r="F11" t="s">
        <v>218</v>
      </c>
    </row>
    <row r="12" spans="1:6" x14ac:dyDescent="0.45">
      <c r="A12" t="s">
        <v>221</v>
      </c>
      <c r="E12">
        <f>SUBTOTAL(109,T_売上データ[売上])</f>
        <v>556900</v>
      </c>
      <c r="F12">
        <f>SUBTOTAL(103,T_売上データ[担当者])</f>
        <v>10</v>
      </c>
    </row>
  </sheetData>
  <phoneticPr fontId="2"/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19</vt:i4>
      </vt:variant>
    </vt:vector>
  </HeadingPairs>
  <TitlesOfParts>
    <vt:vector size="19" baseType="lpstr">
      <vt:lpstr>ショートカットキー①</vt:lpstr>
      <vt:lpstr>ショートカットキー②</vt:lpstr>
      <vt:lpstr>ショートカットキー③</vt:lpstr>
      <vt:lpstr>ショートカットキー④</vt:lpstr>
      <vt:lpstr>表示形式</vt:lpstr>
      <vt:lpstr>データの入力規則</vt:lpstr>
      <vt:lpstr>プランリスト</vt:lpstr>
      <vt:lpstr>フラッシュフィル</vt:lpstr>
      <vt:lpstr>SUM</vt:lpstr>
      <vt:lpstr>IF</vt:lpstr>
      <vt:lpstr>VLOOKUP①</vt:lpstr>
      <vt:lpstr>VLOOKUP②</vt:lpstr>
      <vt:lpstr>商品マスタ</vt:lpstr>
      <vt:lpstr>SUMIF</vt:lpstr>
      <vt:lpstr>COUNTIF</vt:lpstr>
      <vt:lpstr>グラフ化</vt:lpstr>
      <vt:lpstr>テーブル化</vt:lpstr>
      <vt:lpstr>商品一覧</vt:lpstr>
      <vt:lpstr>スライサー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mentaexcel</dc:creator>
  <cp:lastModifiedBy>野村　葵_富山</cp:lastModifiedBy>
  <dcterms:created xsi:type="dcterms:W3CDTF">2024-10-07T05:53:31Z</dcterms:created>
  <dcterms:modified xsi:type="dcterms:W3CDTF">2026-06-14T17:30:56Z</dcterms:modified>
</cp:coreProperties>
</file>