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usia\ドキュメント\myroom\EMC試験\AQC\"/>
    </mc:Choice>
  </mc:AlternateContent>
  <xr:revisionPtr revIDLastSave="0" documentId="13_ncr:1_{15B73E15-9C0D-4E5C-B23B-C61A3CD69C72}" xr6:coauthVersionLast="47" xr6:coauthVersionMax="47" xr10:uidLastSave="{00000000-0000-0000-0000-000000000000}"/>
  <bookViews>
    <workbookView xWindow="-108" yWindow="-108" windowWidth="23256" windowHeight="13896" firstSheet="1" activeTab="5" xr2:uid="{00000000-000D-0000-FFFF-FFFF00000000}"/>
  </bookViews>
  <sheets>
    <sheet name="T_暗室1_ラジオ伝導" sheetId="1" r:id="rId1"/>
    <sheet name="T_暗室1_ラジオ輻射" sheetId="2" r:id="rId2"/>
    <sheet name="T_暗室2_ラジオ伝導" sheetId="3" r:id="rId3"/>
    <sheet name="T_暗室2_ラジオ輻射" sheetId="4" r:id="rId4"/>
    <sheet name="Sheet5" sheetId="5" r:id="rId5"/>
    <sheet name="maste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5" l="1" a="1"/>
  <c r="A6" i="5"/>
  <c r="B3" i="5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<sst xmlns="http://schemas.openxmlformats.org/spreadsheetml/2006/main" count="104" uniqueCount="33">
  <si>
    <t>部屋</t>
  </si>
  <si>
    <t>測定名</t>
  </si>
  <si>
    <t>名称</t>
  </si>
  <si>
    <t>メーカ</t>
  </si>
  <si>
    <t>型式</t>
  </si>
  <si>
    <t>全社連番</t>
  </si>
  <si>
    <t>管理No.</t>
  </si>
  <si>
    <t>管理部署</t>
  </si>
  <si>
    <t>有効期限</t>
  </si>
  <si>
    <t>電波暗室1</t>
    <rPh sb="0" eb="4">
      <t>デンパアンシツ</t>
    </rPh>
    <phoneticPr fontId="1"/>
  </si>
  <si>
    <t>ラジオノイズ試験伝導</t>
    <rPh sb="6" eb="8">
      <t>シケン</t>
    </rPh>
    <rPh sb="8" eb="10">
      <t>デンドウ</t>
    </rPh>
    <phoneticPr fontId="1"/>
  </si>
  <si>
    <r>
      <rPr>
        <sz val="11"/>
        <color theme="1"/>
        <rFont val="ＭＳ ゴシック"/>
        <family val="3"/>
        <charset val="128"/>
      </rPr>
      <t>部屋</t>
    </r>
    <r>
      <rPr>
        <sz val="11"/>
        <color theme="1"/>
        <rFont val="Arial"/>
        <family val="2"/>
      </rPr>
      <t>1</t>
    </r>
    <rPh sb="0" eb="2">
      <t>ヘヤ</t>
    </rPh>
    <phoneticPr fontId="1"/>
  </si>
  <si>
    <t>モビエレ</t>
  </si>
  <si>
    <t>ラジオノイズ試験輻射</t>
    <rPh sb="6" eb="8">
      <t>シケン</t>
    </rPh>
    <rPh sb="8" eb="10">
      <t>フクシャ</t>
    </rPh>
    <phoneticPr fontId="1"/>
  </si>
  <si>
    <r>
      <rPr>
        <sz val="11"/>
        <color theme="1"/>
        <rFont val="ＭＳ Ｐゴシック"/>
        <family val="2"/>
        <charset val="128"/>
      </rPr>
      <t>部屋</t>
    </r>
    <r>
      <rPr>
        <sz val="11"/>
        <color theme="1"/>
        <rFont val="Arial"/>
        <family val="2"/>
      </rPr>
      <t>1</t>
    </r>
    <rPh sb="0" eb="2">
      <t>ヘヤ</t>
    </rPh>
    <phoneticPr fontId="1"/>
  </si>
  <si>
    <r>
      <rPr>
        <sz val="11"/>
        <color theme="1"/>
        <rFont val="Yu Gothic"/>
        <family val="2"/>
      </rPr>
      <t>スペアナ</t>
    </r>
    <r>
      <rPr>
        <sz val="11"/>
        <color theme="1"/>
        <rFont val="ＭＳ Ｐゴシック"/>
        <family val="2"/>
        <charset val="128"/>
      </rPr>
      <t>　輻射</t>
    </r>
    <rPh sb="5" eb="7">
      <t>フクシャ</t>
    </rPh>
    <phoneticPr fontId="1"/>
  </si>
  <si>
    <r>
      <rPr>
        <sz val="11"/>
        <color theme="1"/>
        <rFont val="Yu Gothic"/>
        <family val="2"/>
      </rPr>
      <t>ラインレシーバ</t>
    </r>
    <r>
      <rPr>
        <sz val="11"/>
        <color theme="1"/>
        <rFont val="ＭＳ Ｐゴシック"/>
        <family val="2"/>
        <charset val="128"/>
      </rPr>
      <t>輻射</t>
    </r>
    <rPh sb="7" eb="9">
      <t>フクシャ</t>
    </rPh>
    <phoneticPr fontId="1"/>
  </si>
  <si>
    <t>電波暗室2</t>
    <rPh sb="0" eb="4">
      <t>デンパアンシツ</t>
    </rPh>
    <phoneticPr fontId="1"/>
  </si>
  <si>
    <t>部屋2</t>
    <rPh sb="0" eb="2">
      <t>ヘヤ</t>
    </rPh>
    <phoneticPr fontId="1"/>
  </si>
  <si>
    <t>スペアナ</t>
  </si>
  <si>
    <t>ラインレシーバ</t>
  </si>
  <si>
    <t>部屋</t>
    <phoneticPr fontId="2"/>
  </si>
  <si>
    <t>Sheet_name</t>
    <phoneticPr fontId="2"/>
  </si>
  <si>
    <t>部屋</t>
    <rPh sb="0" eb="2">
      <t>ヘヤ</t>
    </rPh>
    <phoneticPr fontId="2"/>
  </si>
  <si>
    <t>試験名</t>
    <rPh sb="0" eb="3">
      <t>シケンメイ</t>
    </rPh>
    <phoneticPr fontId="2"/>
  </si>
  <si>
    <t>電波暗室1</t>
    <rPh sb="0" eb="4">
      <t>デンパアンシツ</t>
    </rPh>
    <phoneticPr fontId="2"/>
  </si>
  <si>
    <t>ラジオノイズ試験伝導</t>
    <rPh sb="6" eb="8">
      <t>シケン</t>
    </rPh>
    <rPh sb="8" eb="10">
      <t>デンドウ</t>
    </rPh>
    <phoneticPr fontId="2"/>
  </si>
  <si>
    <t>ラジオノイズ試験輻射</t>
    <rPh sb="6" eb="8">
      <t>シケン</t>
    </rPh>
    <rPh sb="8" eb="10">
      <t>フクシャ</t>
    </rPh>
    <phoneticPr fontId="2"/>
  </si>
  <si>
    <t>電波暗室2</t>
    <rPh sb="0" eb="4">
      <t>デンパアンシツ</t>
    </rPh>
    <phoneticPr fontId="2"/>
  </si>
  <si>
    <t>T_暗室1_ラジオ伝導</t>
    <phoneticPr fontId="2"/>
  </si>
  <si>
    <t>T_暗室1_ラジオ輻射</t>
    <rPh sb="9" eb="11">
      <t>フクシャ</t>
    </rPh>
    <phoneticPr fontId="2"/>
  </si>
  <si>
    <t>T_暗室2_ラジオ伝導</t>
    <phoneticPr fontId="2"/>
  </si>
  <si>
    <t>T_暗室2_ラジオ輻射</t>
    <rPh sb="9" eb="11">
      <t>フクシャ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</si>
</sst>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b/>
      <sz val="15"/>
      <color theme="3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ＭＳ ゴシック"/>
      <family val="3"/>
      <charset val="128"/>
    </font>
    <font>
      <sz val="11"/>
      <color theme="1"/>
      <name val="Yu Gothic"/>
      <family val="2"/>
    </font>
    <font>
      <sz val="11"/>
      <color theme="1"/>
      <name val="ＭＳ Ｐゴシック"/>
      <family val="2"/>
      <charset val="128"/>
    </font>
    <font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0" borderId="0" xfId="0" applyFont="1" applyFill="1" applyBorder="1"/>
    <xf numFmtId="0" fontId="7" fillId="0" borderId="0" xfId="0" applyFont="1" applyFill="1" applyBorder="1"/>
  </cellXfs>
  <cellStyles count="1">
    <cellStyle name="標準" xfId="0" builtinId="0"/>
  </cellStyles>
  <dxfs count="1">
    <dxf>
      <font>
        <strike val="0"/>
        <outline val="0"/>
        <shadow val="0"/>
        <u val="none"/>
        <vertAlign val="baseline"/>
        <sz val="11"/>
        <color theme="1"/>
        <name val="Yu Gothic"/>
        <family val="3"/>
        <charset val="128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9CE562-A7B8-4511-B022-2EB2D224F842}" name="T_暗室1_ラジオ伝導" displayName="T_暗室1_ラジオ伝導" ref="A1:I4" totalsRowShown="0">
  <autoFilter ref="A1:I4" xr:uid="{829CE562-A7B8-4511-B022-2EB2D224F842}"/>
  <tableColumns count="9">
    <tableColumn id="1" xr3:uid="{99916D2E-D607-4E58-895E-639EF2DB20EC}" name="部屋"/>
    <tableColumn id="2" xr3:uid="{220753A1-450E-4F9D-8591-3C186A0925D9}" name="測定名"/>
    <tableColumn id="3" xr3:uid="{0074DB4D-A8CA-41E9-BE29-A4B224C9445F}" name="名称"/>
    <tableColumn id="4" xr3:uid="{0527DED2-2793-44D2-8919-552673B26B53}" name="メーカ"/>
    <tableColumn id="5" xr3:uid="{B46F69A9-E41A-4D27-B5BF-2A9C8E29D1B7}" name="型式"/>
    <tableColumn id="6" xr3:uid="{7EA87F68-BC51-425B-AE5C-FC4A8629E82F}" name="全社連番"/>
    <tableColumn id="7" xr3:uid="{0C7FA72B-FAA3-4CF4-AFC3-7FCFDB37272A}" name="管理No."/>
    <tableColumn id="8" xr3:uid="{A17A0FB1-296C-47A9-AD21-7CA9A565B511}" name="管理部署"/>
    <tableColumn id="9" xr3:uid="{0BAB94B2-DBCD-47C5-86D3-91C21240365F}" name="有効期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8D91C01-9614-49CD-859E-07ECD00A4CED}" name="T_暗室1_ラジオ輻射" displayName="T_暗室1_ラジオ輻射" ref="A1:I4" totalsRowShown="0">
  <autoFilter ref="A1:I4" xr:uid="{58D91C01-9614-49CD-859E-07ECD00A4CED}"/>
  <tableColumns count="9">
    <tableColumn id="1" xr3:uid="{B830C6AB-B900-481A-AE91-BC0EB9FF853F}" name="部屋"/>
    <tableColumn id="2" xr3:uid="{CD84D467-7ED0-48F0-A028-64703AF1739E}" name="測定名"/>
    <tableColumn id="3" xr3:uid="{B31B7ECE-5B73-4265-A054-80B470B2919A}" name="名称"/>
    <tableColumn id="4" xr3:uid="{8E106FFA-AD90-473F-BA6B-B851897DDBED}" name="メーカ"/>
    <tableColumn id="5" xr3:uid="{CCEB4320-4EB2-4EEF-9118-C01333BF7F2A}" name="型式"/>
    <tableColumn id="6" xr3:uid="{71AF9858-93B3-49F0-A87A-24AC76E97AFE}" name="全社連番"/>
    <tableColumn id="7" xr3:uid="{AC8FE0BC-894C-40E5-BEE5-D3B5BEB33E02}" name="管理No."/>
    <tableColumn id="8" xr3:uid="{FE3370A7-01CF-4C63-AFC8-AE30DA1A490F}" name="管理部署"/>
    <tableColumn id="9" xr3:uid="{50E3D2BA-7E39-444E-8912-39D67191D60B}" name="有効期限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042D32-2062-4FBF-8430-FF8E26908F9F}" name="T_暗室2_ラジオ伝導" displayName="T_暗室2_ラジオ伝導" ref="A1:I4" totalsRowShown="0">
  <autoFilter ref="A1:I4" xr:uid="{C7042D32-2062-4FBF-8430-FF8E26908F9F}"/>
  <tableColumns count="9">
    <tableColumn id="1" xr3:uid="{F3CD62E6-B8DE-494D-AE59-5961E9E8D996}" name="部屋"/>
    <tableColumn id="2" xr3:uid="{A34DB58A-C7EC-424D-976E-79A1880D8D3F}" name="測定名"/>
    <tableColumn id="3" xr3:uid="{5FA8DE57-20CA-4D69-B4D2-179F66274979}" name="名称"/>
    <tableColumn id="4" xr3:uid="{ED8C05D3-90F0-44A9-BBB6-071F8FA4B263}" name="メーカ"/>
    <tableColumn id="5" xr3:uid="{F32A91DF-AE48-4E5F-AD45-BA46F2DB2E58}" name="型式"/>
    <tableColumn id="6" xr3:uid="{D8136BB1-EDD4-4464-9ABE-C7CF23535AD0}" name="全社連番"/>
    <tableColumn id="7" xr3:uid="{4417F2BA-4441-4E86-8FE5-8D7C98808B85}" name="管理No."/>
    <tableColumn id="8" xr3:uid="{FFA26852-46AB-4C6E-960B-59CB1E6BA456}" name="管理部署"/>
    <tableColumn id="9" xr3:uid="{F7FA087A-01E9-4EBB-B333-C57DBBE04030}" name="有効期限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32CB11E-E1C2-439A-A88E-CAB0601EFC8E}" name="T_暗室2_ラジオ輻射" displayName="T_暗室2_ラジオ輻射" ref="A1:I4" totalsRowShown="0">
  <autoFilter ref="A1:I4" xr:uid="{832CB11E-E1C2-439A-A88E-CAB0601EFC8E}"/>
  <tableColumns count="9">
    <tableColumn id="1" xr3:uid="{763C19CE-820A-4A6A-ADFE-644623CA87EF}" name="部屋"/>
    <tableColumn id="2" xr3:uid="{9FC271F4-00D3-4597-936E-10E298045B2F}" name="測定名"/>
    <tableColumn id="3" xr3:uid="{FD4E47CC-D2F7-4710-A22B-8E3D971F9CE6}" name="名称"/>
    <tableColumn id="4" xr3:uid="{1B4B56CB-151F-4A7C-AAAE-2952A773F433}" name="メーカ"/>
    <tableColumn id="5" xr3:uid="{22F18FE0-C571-4F16-B987-8CD441755441}" name="型式"/>
    <tableColumn id="6" xr3:uid="{46A4882A-B923-49E3-983D-34DDAC005563}" name="全社連番"/>
    <tableColumn id="7" xr3:uid="{9C0DA22D-8A13-42D0-B5B4-89C117AA0BB6}" name="管理No."/>
    <tableColumn id="8" xr3:uid="{E1B95968-DEFE-4A64-A65F-76E018E8AF22}" name="管理部署"/>
    <tableColumn id="9" xr3:uid="{9EA26E25-E2BC-4254-8CD4-0A0E1383487F}" name="有効期限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F480845-4BAD-44C0-A33F-65863B09382F}" name="master_table" displayName="master_table" ref="A1:C5" totalsRowShown="0" headerRowDxfId="0">
  <autoFilter ref="A1:C5" xr:uid="{EF480845-4BAD-44C0-A33F-65863B09382F}"/>
  <tableColumns count="3">
    <tableColumn id="1" xr3:uid="{C0AEEA14-F7C7-4528-95E4-66E1CE526E5A}" name="部屋"/>
    <tableColumn id="2" xr3:uid="{B4C0E493-9E47-4D89-ADF4-3BC517CC3F2C}" name="試験名"/>
    <tableColumn id="3" xr3:uid="{FA0FDC04-8D2E-4EE0-B52F-02E7AAE048E5}" name="Sheet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>
      <selection activeCell="E26" sqref="E26"/>
    </sheetView>
  </sheetViews>
  <sheetFormatPr defaultRowHeight="18"/>
  <cols>
    <col min="1" max="1" width="9.59765625" bestFit="1" customWidth="1"/>
    <col min="2" max="2" width="20" bestFit="1" customWidth="1"/>
    <col min="3" max="3" width="18.296875" bestFit="1" customWidth="1"/>
    <col min="4" max="4" width="8" customWidth="1"/>
    <col min="5" max="5" width="6.19921875" customWidth="1"/>
    <col min="6" max="6" width="9.796875" customWidth="1"/>
    <col min="7" max="7" width="9.19921875" customWidth="1"/>
    <col min="8" max="9" width="9.796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11</v>
      </c>
      <c r="E2">
        <v>12</v>
      </c>
      <c r="F2">
        <v>1111111</v>
      </c>
      <c r="G2">
        <v>1</v>
      </c>
      <c r="H2" t="s">
        <v>12</v>
      </c>
      <c r="I2">
        <v>46173</v>
      </c>
    </row>
    <row r="3" spans="1:9">
      <c r="A3" t="s">
        <v>9</v>
      </c>
      <c r="B3" t="s">
        <v>10</v>
      </c>
      <c r="C3" t="s">
        <v>19</v>
      </c>
      <c r="D3">
        <v>13</v>
      </c>
      <c r="E3">
        <v>14</v>
      </c>
      <c r="F3">
        <v>1111112</v>
      </c>
      <c r="G3">
        <v>2</v>
      </c>
      <c r="H3" t="s">
        <v>12</v>
      </c>
      <c r="I3">
        <v>46174</v>
      </c>
    </row>
    <row r="4" spans="1:9">
      <c r="A4" t="s">
        <v>9</v>
      </c>
      <c r="B4" t="s">
        <v>10</v>
      </c>
      <c r="C4" t="s">
        <v>20</v>
      </c>
      <c r="D4">
        <v>15</v>
      </c>
      <c r="E4">
        <v>16</v>
      </c>
      <c r="F4">
        <v>1111113</v>
      </c>
      <c r="G4">
        <v>3</v>
      </c>
      <c r="H4" t="s">
        <v>12</v>
      </c>
      <c r="I4">
        <v>46175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67AC4-F5B8-47F1-8130-7989E61EEB67}">
  <dimension ref="A1:I4"/>
  <sheetViews>
    <sheetView workbookViewId="0">
      <selection activeCell="D26" sqref="D26"/>
    </sheetView>
  </sheetViews>
  <sheetFormatPr defaultRowHeight="18"/>
  <cols>
    <col min="1" max="1" width="9.59765625" bestFit="1" customWidth="1"/>
    <col min="2" max="2" width="20" bestFit="1" customWidth="1"/>
    <col min="3" max="3" width="18.296875" bestFit="1" customWidth="1"/>
    <col min="4" max="4" width="8" customWidth="1"/>
    <col min="5" max="5" width="6.19921875" customWidth="1"/>
    <col min="6" max="6" width="9.796875" customWidth="1"/>
    <col min="7" max="7" width="9.19921875" customWidth="1"/>
    <col min="8" max="9" width="9.796875" customWidth="1"/>
  </cols>
  <sheetData>
    <row r="1" spans="1:9">
      <c r="A1" t="s">
        <v>21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13</v>
      </c>
      <c r="C2" t="s">
        <v>14</v>
      </c>
      <c r="D2">
        <v>11</v>
      </c>
      <c r="E2">
        <v>12</v>
      </c>
      <c r="F2">
        <v>1111111</v>
      </c>
      <c r="G2">
        <v>1</v>
      </c>
      <c r="H2" t="s">
        <v>12</v>
      </c>
      <c r="I2">
        <v>46173</v>
      </c>
    </row>
    <row r="3" spans="1:9">
      <c r="A3" t="s">
        <v>9</v>
      </c>
      <c r="B3" t="s">
        <v>13</v>
      </c>
      <c r="C3" t="s">
        <v>15</v>
      </c>
      <c r="D3">
        <v>13</v>
      </c>
      <c r="E3">
        <v>14</v>
      </c>
      <c r="F3">
        <v>1111112</v>
      </c>
      <c r="G3">
        <v>2</v>
      </c>
      <c r="H3" t="s">
        <v>12</v>
      </c>
      <c r="I3">
        <v>46174</v>
      </c>
    </row>
    <row r="4" spans="1:9">
      <c r="A4" t="s">
        <v>9</v>
      </c>
      <c r="B4" t="s">
        <v>13</v>
      </c>
      <c r="C4" t="s">
        <v>16</v>
      </c>
      <c r="D4">
        <v>15</v>
      </c>
      <c r="E4">
        <v>16</v>
      </c>
      <c r="F4">
        <v>1111113</v>
      </c>
      <c r="G4">
        <v>3</v>
      </c>
      <c r="H4" t="s">
        <v>12</v>
      </c>
      <c r="I4">
        <v>46175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03E84-78A0-436B-A8C1-30F8C21C1C4D}">
  <dimension ref="A1:I4"/>
  <sheetViews>
    <sheetView workbookViewId="0">
      <selection activeCell="C26" sqref="C26"/>
    </sheetView>
  </sheetViews>
  <sheetFormatPr defaultRowHeight="18"/>
  <cols>
    <col min="1" max="1" width="9.59765625" bestFit="1" customWidth="1"/>
    <col min="2" max="2" width="20" bestFit="1" customWidth="1"/>
    <col min="3" max="3" width="18.296875" bestFit="1" customWidth="1"/>
    <col min="4" max="4" width="8" customWidth="1"/>
    <col min="5" max="5" width="6.19921875" customWidth="1"/>
    <col min="6" max="6" width="9.796875" customWidth="1"/>
    <col min="7" max="7" width="9.19921875" customWidth="1"/>
    <col min="8" max="9" width="9.796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17</v>
      </c>
      <c r="B2" t="s">
        <v>10</v>
      </c>
      <c r="C2" t="s">
        <v>18</v>
      </c>
      <c r="D2">
        <v>11</v>
      </c>
      <c r="E2">
        <v>12</v>
      </c>
      <c r="F2">
        <v>1111111</v>
      </c>
      <c r="G2">
        <v>1</v>
      </c>
      <c r="H2" t="s">
        <v>12</v>
      </c>
      <c r="I2">
        <v>46173</v>
      </c>
    </row>
    <row r="3" spans="1:9">
      <c r="A3" t="s">
        <v>17</v>
      </c>
      <c r="B3" t="s">
        <v>10</v>
      </c>
      <c r="C3" t="s">
        <v>19</v>
      </c>
      <c r="D3">
        <v>13</v>
      </c>
      <c r="E3">
        <v>14</v>
      </c>
      <c r="F3">
        <v>1111112</v>
      </c>
      <c r="G3">
        <v>2</v>
      </c>
      <c r="H3" t="s">
        <v>12</v>
      </c>
      <c r="I3">
        <v>46174</v>
      </c>
    </row>
    <row r="4" spans="1:9">
      <c r="A4" t="s">
        <v>17</v>
      </c>
      <c r="B4" t="s">
        <v>10</v>
      </c>
      <c r="C4" t="s">
        <v>20</v>
      </c>
      <c r="D4">
        <v>15</v>
      </c>
      <c r="E4">
        <v>16</v>
      </c>
      <c r="F4">
        <v>1111113</v>
      </c>
      <c r="G4">
        <v>3</v>
      </c>
      <c r="H4" t="s">
        <v>12</v>
      </c>
      <c r="I4">
        <v>46175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94263-6E10-45AC-9859-D6B5CC1D2921}">
  <dimension ref="A1:I4"/>
  <sheetViews>
    <sheetView workbookViewId="0">
      <selection activeCell="C26" sqref="C26"/>
    </sheetView>
  </sheetViews>
  <sheetFormatPr defaultRowHeight="18"/>
  <cols>
    <col min="1" max="1" width="9.59765625" bestFit="1" customWidth="1"/>
    <col min="2" max="2" width="20" bestFit="1" customWidth="1"/>
    <col min="3" max="3" width="18.296875" bestFit="1" customWidth="1"/>
    <col min="4" max="4" width="8" customWidth="1"/>
    <col min="5" max="5" width="6.19921875" customWidth="1"/>
    <col min="6" max="6" width="9.796875" customWidth="1"/>
    <col min="7" max="7" width="9.19921875" customWidth="1"/>
    <col min="8" max="9" width="9.796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17</v>
      </c>
      <c r="B2" t="s">
        <v>13</v>
      </c>
      <c r="C2" t="s">
        <v>18</v>
      </c>
      <c r="D2">
        <v>11</v>
      </c>
      <c r="E2">
        <v>12</v>
      </c>
      <c r="F2">
        <v>1111111</v>
      </c>
      <c r="G2">
        <v>1</v>
      </c>
      <c r="H2" t="s">
        <v>12</v>
      </c>
      <c r="I2">
        <v>46173</v>
      </c>
    </row>
    <row r="3" spans="1:9">
      <c r="A3" t="s">
        <v>17</v>
      </c>
      <c r="B3" t="s">
        <v>13</v>
      </c>
      <c r="C3" t="s">
        <v>15</v>
      </c>
      <c r="D3">
        <v>13</v>
      </c>
      <c r="E3">
        <v>14</v>
      </c>
      <c r="F3">
        <v>1111112</v>
      </c>
      <c r="G3">
        <v>2</v>
      </c>
      <c r="H3" t="s">
        <v>12</v>
      </c>
      <c r="I3">
        <v>46174</v>
      </c>
    </row>
    <row r="4" spans="1:9">
      <c r="A4" t="s">
        <v>17</v>
      </c>
      <c r="B4" t="s">
        <v>13</v>
      </c>
      <c r="C4" t="s">
        <v>16</v>
      </c>
      <c r="D4">
        <v>15</v>
      </c>
      <c r="E4">
        <v>16</v>
      </c>
      <c r="F4">
        <v>1111113</v>
      </c>
      <c r="G4">
        <v>3</v>
      </c>
      <c r="H4" t="s">
        <v>12</v>
      </c>
      <c r="I4">
        <v>46175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440E1-E3EF-4AFA-9159-4C0CA6E968D6}">
  <dimension ref="A1:G21"/>
  <sheetViews>
    <sheetView workbookViewId="0">
      <selection activeCell="H6" sqref="H6"/>
    </sheetView>
  </sheetViews>
  <sheetFormatPr defaultRowHeight="18"/>
  <cols>
    <col min="1" max="1" width="14.5" bestFit="1" customWidth="1"/>
    <col min="2" max="2" width="20" bestFit="1" customWidth="1"/>
  </cols>
  <sheetData>
    <row r="1" spans="1:2">
      <c r="A1" t="s">
        <v>23</v>
      </c>
      <c r="B1" t="s">
        <v>25</v>
      </c>
    </row>
    <row r="2" spans="1:2">
      <c r="A2" t="s">
        <v>24</v>
      </c>
      <c r="B2" t="s">
        <v>26</v>
      </c>
    </row>
    <row r="3" spans="1:2">
      <c r="A3" t="s">
        <v>22</v>
      </c>
      <c r="B3" t="str" cm="1">
        <f t="array" ref="B3">_xlfn._xlws.FILTER(master!C:C, (master!A:A=Sheet5!$B$1) * (master!B:B=Sheet5!$B$2), "該当なし")</f>
        <v>T_暗室1_ラジオ伝導</v>
      </c>
    </row>
    <row r="6" spans="1:2">
      <c r="A6" t="str">
        <f>IF(B3&lt;&gt;"",B3 )</f>
        <v>T_暗室1_ラジオ伝導</v>
      </c>
    </row>
    <row r="19" spans="1:7">
      <c r="A19" t="str" cm="1">
        <f t="array" ref="A19:G21">T_暗室1_ラジオ伝導[[名称]:[有効期限]]</f>
        <v>部屋1</v>
      </c>
      <c r="B19">
        <v>11</v>
      </c>
      <c r="C19">
        <v>12</v>
      </c>
      <c r="D19">
        <v>1111111</v>
      </c>
      <c r="E19">
        <v>1</v>
      </c>
      <c r="F19" t="str">
        <v>モビエレ</v>
      </c>
      <c r="G19">
        <v>46173</v>
      </c>
    </row>
    <row r="20" spans="1:7">
      <c r="A20" t="str">
        <v>スペアナ</v>
      </c>
      <c r="B20">
        <v>13</v>
      </c>
      <c r="C20">
        <v>14</v>
      </c>
      <c r="D20">
        <v>1111112</v>
      </c>
      <c r="E20">
        <v>2</v>
      </c>
      <c r="F20" t="str">
        <v>モビエレ</v>
      </c>
      <c r="G20">
        <v>46174</v>
      </c>
    </row>
    <row r="21" spans="1:7">
      <c r="A21" t="str">
        <v>ラインレシーバ</v>
      </c>
      <c r="B21">
        <v>15</v>
      </c>
      <c r="C21">
        <v>16</v>
      </c>
      <c r="D21">
        <v>1111113</v>
      </c>
      <c r="E21">
        <v>3</v>
      </c>
      <c r="F21" t="str">
        <v>モビエレ</v>
      </c>
      <c r="G21">
        <v>46175</v>
      </c>
    </row>
  </sheetData>
  <phoneticPr fontId="2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7AD26FA-9126-4A2F-8AC8-6BB348EE7F75}">
          <x14:formula1>
            <xm:f>master!$A$2:$A$5</xm:f>
          </x14:formula1>
          <xm:sqref>B1</xm:sqref>
        </x14:dataValidation>
        <x14:dataValidation type="list" allowBlank="1" showInputMessage="1" showErrorMessage="1" xr:uid="{35B4DD46-D156-4F83-BB5A-4721D7128ED8}">
          <x14:formula1>
            <xm:f>master!$B$2:$B$5</xm:f>
          </x14:formula1>
          <xm:sqref>B2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9F9D8-6E52-43AE-9743-0A35F77318EB}">
  <dimension ref="A1:C5"/>
  <sheetViews>
    <sheetView tabSelected="1" workbookViewId="0">
      <selection activeCell="C5" sqref="C5"/>
    </sheetView>
  </sheetViews>
  <sheetFormatPr defaultRowHeight="18"/>
  <cols>
    <col min="1" max="1" width="9.59765625" bestFit="1" customWidth="1"/>
    <col min="2" max="2" width="20" bestFit="1" customWidth="1"/>
    <col min="3" max="3" width="18.59765625" bestFit="1" customWidth="1"/>
  </cols>
  <sheetData>
    <row r="1" spans="1:3">
      <c r="A1" s="2" t="s">
        <v>23</v>
      </c>
      <c r="B1" s="3" t="s">
        <v>24</v>
      </c>
      <c r="C1" s="3" t="s">
        <v>22</v>
      </c>
    </row>
    <row r="2" spans="1:3">
      <c r="A2" s="1" t="s">
        <v>25</v>
      </c>
      <c r="B2" s="1" t="s">
        <v>26</v>
      </c>
      <c r="C2" s="1" t="s">
        <v>29</v>
      </c>
    </row>
    <row r="3" spans="1:3">
      <c r="A3" s="1" t="s">
        <v>25</v>
      </c>
      <c r="B3" s="1" t="s">
        <v>27</v>
      </c>
      <c r="C3" s="1" t="s">
        <v>30</v>
      </c>
    </row>
    <row r="4" spans="1:3">
      <c r="A4" s="1" t="s">
        <v>28</v>
      </c>
      <c r="B4" s="1" t="s">
        <v>26</v>
      </c>
      <c r="C4" s="1" t="s">
        <v>31</v>
      </c>
    </row>
    <row r="5" spans="1:3">
      <c r="A5" s="1" t="s">
        <v>28</v>
      </c>
      <c r="B5" s="1" t="s">
        <v>27</v>
      </c>
      <c r="C5" s="1" t="s">
        <v>32</v>
      </c>
    </row>
  </sheetData>
  <phoneticPr fontId="2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T_暗室1_ラジオ伝導</vt:lpstr>
      <vt:lpstr>T_暗室1_ラジオ輻射</vt:lpstr>
      <vt:lpstr>T_暗室2_ラジオ伝導</vt:lpstr>
      <vt:lpstr>T_暗室2_ラジオ輻射</vt:lpstr>
      <vt:lpstr>Sheet5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野村葵</dc:creator>
  <cp:lastModifiedBy>野村　葵_富山</cp:lastModifiedBy>
  <dcterms:created xsi:type="dcterms:W3CDTF">2015-06-05T18:19:34Z</dcterms:created>
  <dcterms:modified xsi:type="dcterms:W3CDTF">2026-06-14T03:44:33Z</dcterms:modified>
</cp:coreProperties>
</file>