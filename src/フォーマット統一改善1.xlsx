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usia\ドキュメント\myroom\EMC試験\AQC\"/>
    </mc:Choice>
  </mc:AlternateContent>
  <xr:revisionPtr revIDLastSave="0" documentId="13_ncr:1_{94AC64DD-C483-4F6B-AF8B-561C685A736C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試験・測定機器一覧" sheetId="1" r:id="rId1"/>
    <sheet name="プルダウンのマスタリスト" sheetId="2" r:id="rId2"/>
    <sheet name="マスタ" sheetId="3" r:id="rId3"/>
    <sheet name="報告書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 a="1"/>
  <c r="B4" i="4" a="1"/>
  <c r="E2" i="4"/>
  <c r="D3" i="4"/>
  <c r="D2" i="4"/>
  <c r="C2" i="4"/>
  <c r="B2" i="4"/>
  <c r="B5" i="4" l="1"/>
  <c r="B4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<sst xmlns="http://schemas.openxmlformats.org/spreadsheetml/2006/main" count="201" uniqueCount="85">
  <si>
    <t>報告書</t>
    <rPh sb="0" eb="3">
      <t>ホウコクショ</t>
    </rPh>
    <phoneticPr fontId="1"/>
  </si>
  <si>
    <t>試験・測定機器一覧</t>
    <rPh sb="0" eb="2">
      <t>シケン</t>
    </rPh>
    <rPh sb="3" eb="9">
      <t>ソクテイキキイチラン</t>
    </rPh>
    <phoneticPr fontId="1"/>
  </si>
  <si>
    <t>仕様部屋</t>
    <rPh sb="0" eb="2">
      <t>シヨウ</t>
    </rPh>
    <rPh sb="2" eb="4">
      <t>ヘヤ</t>
    </rPh>
    <phoneticPr fontId="1"/>
  </si>
  <si>
    <t>&lt;常設機器&gt;</t>
    <rPh sb="1" eb="3">
      <t>ジョウセツ</t>
    </rPh>
    <rPh sb="3" eb="5">
      <t>キキ</t>
    </rPh>
    <phoneticPr fontId="1"/>
  </si>
  <si>
    <t>名称</t>
    <rPh sb="0" eb="2">
      <t>メイショウ</t>
    </rPh>
    <phoneticPr fontId="1"/>
  </si>
  <si>
    <t>メーカー</t>
    <phoneticPr fontId="1"/>
  </si>
  <si>
    <t>型式</t>
    <rPh sb="0" eb="2">
      <t>カタシキ</t>
    </rPh>
    <phoneticPr fontId="1"/>
  </si>
  <si>
    <t>全社連番</t>
    <rPh sb="0" eb="4">
      <t>ゼンシャレンバン</t>
    </rPh>
    <phoneticPr fontId="1"/>
  </si>
  <si>
    <t>管理No.</t>
    <rPh sb="0" eb="2">
      <t>カンリ</t>
    </rPh>
    <phoneticPr fontId="1"/>
  </si>
  <si>
    <t>管理部署</t>
    <rPh sb="0" eb="4">
      <t>カンリブショ</t>
    </rPh>
    <phoneticPr fontId="1"/>
  </si>
  <si>
    <t>有効期限</t>
    <rPh sb="0" eb="4">
      <t>ユウコウキゲン</t>
    </rPh>
    <phoneticPr fontId="1"/>
  </si>
  <si>
    <t>使用期間</t>
    <rPh sb="0" eb="4">
      <t>シヨウキカン</t>
    </rPh>
    <phoneticPr fontId="1"/>
  </si>
  <si>
    <t>仕様部屋</t>
    <rPh sb="0" eb="4">
      <t>シヨウヘヤ</t>
    </rPh>
    <phoneticPr fontId="1"/>
  </si>
  <si>
    <t>電波暗室1</t>
    <rPh sb="0" eb="4">
      <t>デンパアンシツ</t>
    </rPh>
    <phoneticPr fontId="1"/>
  </si>
  <si>
    <t>電波暗室2</t>
    <rPh sb="0" eb="4">
      <t>デンパアンシツ</t>
    </rPh>
    <phoneticPr fontId="1"/>
  </si>
  <si>
    <t>電波暗室3</t>
    <rPh sb="0" eb="4">
      <t>デンパアンシツ</t>
    </rPh>
    <phoneticPr fontId="1"/>
  </si>
  <si>
    <t>電波暗室4</t>
    <rPh sb="0" eb="4">
      <t>デンパアンシツ</t>
    </rPh>
    <phoneticPr fontId="1"/>
  </si>
  <si>
    <t>電波暗室5</t>
    <rPh sb="0" eb="4">
      <t>デンパアンシツ</t>
    </rPh>
    <phoneticPr fontId="1"/>
  </si>
  <si>
    <t>電波暗室6</t>
    <rPh sb="0" eb="4">
      <t>デンパアンシツ</t>
    </rPh>
    <phoneticPr fontId="1"/>
  </si>
  <si>
    <t>電波暗室7</t>
    <rPh sb="0" eb="4">
      <t>デンパアンシツ</t>
    </rPh>
    <phoneticPr fontId="1"/>
  </si>
  <si>
    <t>電波暗室8</t>
    <rPh sb="0" eb="4">
      <t>デンパアンシツ</t>
    </rPh>
    <phoneticPr fontId="1"/>
  </si>
  <si>
    <t>電波暗室9</t>
    <rPh sb="0" eb="4">
      <t>デンパアンシツ</t>
    </rPh>
    <phoneticPr fontId="1"/>
  </si>
  <si>
    <t>電波暗室10</t>
    <rPh sb="0" eb="4">
      <t>デンパアンシツ</t>
    </rPh>
    <phoneticPr fontId="1"/>
  </si>
  <si>
    <t>SR1</t>
    <phoneticPr fontId="1"/>
  </si>
  <si>
    <t>SR2</t>
  </si>
  <si>
    <t>SR3</t>
  </si>
  <si>
    <t>SR4</t>
  </si>
  <si>
    <t>SR5</t>
  </si>
  <si>
    <t>SR6</t>
  </si>
  <si>
    <t>SR7</t>
  </si>
  <si>
    <t>SR8</t>
  </si>
  <si>
    <t>SR9</t>
  </si>
  <si>
    <t>SR10</t>
  </si>
  <si>
    <t>測定名</t>
    <rPh sb="0" eb="3">
      <t>ソクテイメイ</t>
    </rPh>
    <phoneticPr fontId="1"/>
  </si>
  <si>
    <t>ラジオノイズ試験伝導</t>
    <rPh sb="6" eb="8">
      <t>シケン</t>
    </rPh>
    <rPh sb="8" eb="10">
      <t>デンドウ</t>
    </rPh>
    <phoneticPr fontId="1"/>
  </si>
  <si>
    <t>ラジオノイズ試験輻射</t>
    <rPh sb="6" eb="8">
      <t>シケン</t>
    </rPh>
    <rPh sb="8" eb="10">
      <t>フクシャ</t>
    </rPh>
    <phoneticPr fontId="1"/>
  </si>
  <si>
    <t>部屋</t>
    <rPh sb="0" eb="2">
      <t>ヘヤ</t>
    </rPh>
    <phoneticPr fontId="1"/>
  </si>
  <si>
    <t>スペアナ</t>
    <phoneticPr fontId="1"/>
  </si>
  <si>
    <t>ラインレシーバ</t>
    <phoneticPr fontId="1"/>
  </si>
  <si>
    <t>LISN</t>
    <phoneticPr fontId="1"/>
  </si>
  <si>
    <t>終端抵抗</t>
    <rPh sb="0" eb="2">
      <t>シュウタン</t>
    </rPh>
    <rPh sb="2" eb="4">
      <t>テイコウ</t>
    </rPh>
    <phoneticPr fontId="1"/>
  </si>
  <si>
    <t>電流プローブ</t>
    <rPh sb="0" eb="2">
      <t>デンリュウ</t>
    </rPh>
    <phoneticPr fontId="1"/>
  </si>
  <si>
    <t>ラジオノイズ試験伝導が選択された場合以下をユーザフォームの一覧で表示</t>
    <rPh sb="6" eb="8">
      <t>シケン</t>
    </rPh>
    <rPh sb="8" eb="10">
      <t>デンドウ</t>
    </rPh>
    <rPh sb="11" eb="13">
      <t>センタク</t>
    </rPh>
    <rPh sb="16" eb="18">
      <t>バアイ</t>
    </rPh>
    <rPh sb="18" eb="20">
      <t>イカ</t>
    </rPh>
    <rPh sb="29" eb="31">
      <t>イチラン</t>
    </rPh>
    <rPh sb="32" eb="34">
      <t>ヒョウジ</t>
    </rPh>
    <phoneticPr fontId="1"/>
  </si>
  <si>
    <t>ラジオノイズ試験輻射が選択された場合以下をユーザフォームの一覧で表示</t>
    <rPh sb="6" eb="8">
      <t>シケン</t>
    </rPh>
    <rPh sb="8" eb="10">
      <t>フクシャ</t>
    </rPh>
    <rPh sb="11" eb="13">
      <t>センタク</t>
    </rPh>
    <rPh sb="16" eb="18">
      <t>バアイ</t>
    </rPh>
    <rPh sb="18" eb="20">
      <t>イカ</t>
    </rPh>
    <rPh sb="29" eb="31">
      <t>イチラン</t>
    </rPh>
    <rPh sb="32" eb="34">
      <t>ヒョウジ</t>
    </rPh>
    <phoneticPr fontId="1"/>
  </si>
  <si>
    <t>バイコニアンテナ</t>
    <phoneticPr fontId="1"/>
  </si>
  <si>
    <t>以下が選択されたとき</t>
    <rPh sb="0" eb="2">
      <t>イカ</t>
    </rPh>
    <rPh sb="3" eb="5">
      <t>センタク</t>
    </rPh>
    <phoneticPr fontId="1"/>
  </si>
  <si>
    <r>
      <rPr>
        <sz val="11"/>
        <color theme="1"/>
        <rFont val="Yu Gothic"/>
        <family val="2"/>
      </rPr>
      <t>名称</t>
    </r>
    <rPh sb="0" eb="2">
      <t>メイショウ</t>
    </rPh>
    <phoneticPr fontId="1"/>
  </si>
  <si>
    <r>
      <rPr>
        <sz val="11"/>
        <color theme="1"/>
        <rFont val="Yu Gothic"/>
        <family val="2"/>
      </rPr>
      <t>メーカー</t>
    </r>
    <phoneticPr fontId="1"/>
  </si>
  <si>
    <r>
      <rPr>
        <sz val="11"/>
        <color theme="1"/>
        <rFont val="Yu Gothic"/>
        <family val="2"/>
      </rPr>
      <t>全社連番</t>
    </r>
    <rPh sb="0" eb="4">
      <t>ゼンシャレンバン</t>
    </rPh>
    <phoneticPr fontId="1"/>
  </si>
  <si>
    <r>
      <rPr>
        <sz val="11"/>
        <color theme="1"/>
        <rFont val="Yu Gothic"/>
        <family val="2"/>
      </rPr>
      <t>管理</t>
    </r>
    <r>
      <rPr>
        <sz val="11"/>
        <color theme="1"/>
        <rFont val="Arial"/>
        <family val="2"/>
      </rPr>
      <t>No.</t>
    </r>
    <rPh sb="0" eb="2">
      <t>カンリ</t>
    </rPh>
    <phoneticPr fontId="1"/>
  </si>
  <si>
    <r>
      <rPr>
        <sz val="11"/>
        <color theme="1"/>
        <rFont val="Yu Gothic"/>
        <family val="2"/>
      </rPr>
      <t>有効期限</t>
    </r>
    <rPh sb="0" eb="4">
      <t>ユウコウキゲン</t>
    </rPh>
    <phoneticPr fontId="1"/>
  </si>
  <si>
    <r>
      <rPr>
        <sz val="11"/>
        <color theme="1"/>
        <rFont val="Yu Gothic"/>
        <family val="2"/>
      </rPr>
      <t>型式</t>
    </r>
    <rPh sb="0" eb="2">
      <t>カタシキ</t>
    </rPh>
    <phoneticPr fontId="1"/>
  </si>
  <si>
    <r>
      <rPr>
        <sz val="11"/>
        <color theme="1"/>
        <rFont val="Yu Gothic"/>
        <family val="2"/>
      </rPr>
      <t>管理部署</t>
    </r>
    <rPh sb="0" eb="4">
      <t>カンリブショ</t>
    </rPh>
    <phoneticPr fontId="1"/>
  </si>
  <si>
    <r>
      <rPr>
        <sz val="11"/>
        <color theme="1"/>
        <rFont val="Yu Gothic"/>
        <family val="2"/>
      </rPr>
      <t>使用期間</t>
    </r>
    <rPh sb="0" eb="4">
      <t>シヨウキカン</t>
    </rPh>
    <phoneticPr fontId="1"/>
  </si>
  <si>
    <r>
      <rPr>
        <sz val="11"/>
        <color theme="1"/>
        <rFont val="Yu Gothic"/>
        <family val="2"/>
      </rPr>
      <t>部屋</t>
    </r>
    <rPh sb="0" eb="2">
      <t>ヘヤ</t>
    </rPh>
    <phoneticPr fontId="1"/>
  </si>
  <si>
    <r>
      <rPr>
        <sz val="11"/>
        <color theme="1"/>
        <rFont val="Yu Gothic"/>
        <family val="2"/>
      </rPr>
      <t>モビエレ</t>
    </r>
    <phoneticPr fontId="1"/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</si>
  <si>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20</t>
    </r>
    <r>
      <rPr>
        <sz val="11"/>
        <color theme="1"/>
        <rFont val="Yu Gothic"/>
        <family val="2"/>
      </rPr>
      <t>日</t>
    </r>
    <rPh sb="4" eb="5">
      <t>ネン</t>
    </rPh>
    <rPh sb="6" eb="7">
      <t>ガツ</t>
    </rPh>
    <rPh sb="9" eb="10">
      <t>ニチ</t>
    </rPh>
    <phoneticPr fontId="1"/>
  </si>
  <si>
    <r>
      <rPr>
        <sz val="11"/>
        <color theme="1"/>
        <rFont val="Yu Gothic"/>
        <family val="2"/>
      </rPr>
      <t>スペアナ</t>
    </r>
    <phoneticPr fontId="1"/>
  </si>
  <si>
    <r>
      <rPr>
        <sz val="11"/>
        <color theme="1"/>
        <rFont val="Yu Gothic"/>
        <family val="2"/>
      </rPr>
      <t>ラインレシーバ</t>
    </r>
    <phoneticPr fontId="1"/>
  </si>
  <si>
    <r>
      <rPr>
        <sz val="11"/>
        <color theme="1"/>
        <rFont val="Yu Gothic"/>
        <family val="2"/>
      </rPr>
      <t>終端抵抗</t>
    </r>
    <rPh sb="0" eb="2">
      <t>シュウタン</t>
    </rPh>
    <rPh sb="2" eb="4">
      <t>テイコウ</t>
    </rPh>
    <phoneticPr fontId="1"/>
  </si>
  <si>
    <r>
      <rPr>
        <sz val="11"/>
        <color theme="1"/>
        <rFont val="Yu Gothic"/>
        <family val="2"/>
      </rPr>
      <t>電流プローブ</t>
    </r>
    <rPh sb="0" eb="2">
      <t>デンリュウ</t>
    </rPh>
    <phoneticPr fontId="1"/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</si>
  <si>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21日</t>
    </r>
    <r>
      <rPr>
        <sz val="11"/>
        <color theme="1"/>
        <rFont val="Yu Gothic"/>
        <family val="2"/>
      </rPr>
      <t/>
    </r>
    <rPh sb="4" eb="5">
      <t>ネン</t>
    </rPh>
    <rPh sb="6" eb="7">
      <t>ガツ</t>
    </rPh>
    <rPh sb="9" eb="10">
      <t>ニチ</t>
    </rPh>
    <phoneticPr fontId="1"/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</si>
  <si>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22日</t>
    </r>
    <r>
      <rPr>
        <sz val="11"/>
        <color theme="1"/>
        <rFont val="Yu Gothic"/>
        <family val="2"/>
      </rPr>
      <t/>
    </r>
    <rPh sb="4" eb="5">
      <t>ネン</t>
    </rPh>
    <rPh sb="6" eb="7">
      <t>ガツ</t>
    </rPh>
    <rPh sb="9" eb="10">
      <t>ニチ</t>
    </rPh>
    <phoneticPr fontId="1"/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</si>
  <si>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23日</t>
    </r>
    <r>
      <rPr>
        <sz val="11"/>
        <color theme="1"/>
        <rFont val="Yu Gothic"/>
        <family val="2"/>
      </rPr>
      <t/>
    </r>
    <rPh sb="4" eb="5">
      <t>ネン</t>
    </rPh>
    <rPh sb="6" eb="7">
      <t>ガツ</t>
    </rPh>
    <rPh sb="9" eb="10">
      <t>ニチ</t>
    </rPh>
    <phoneticPr fontId="1"/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</si>
  <si>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24日</t>
    </r>
    <r>
      <rPr>
        <sz val="11"/>
        <color theme="1"/>
        <rFont val="Yu Gothic"/>
        <family val="2"/>
      </rPr>
      <t/>
    </r>
    <rPh sb="4" eb="5">
      <t>ネン</t>
    </rPh>
    <rPh sb="6" eb="7">
      <t>ガツ</t>
    </rPh>
    <rPh sb="9" eb="10">
      <t>ニチ</t>
    </rPh>
    <phoneticPr fontId="1"/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</si>
  <si>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25日</t>
    </r>
    <r>
      <rPr>
        <sz val="11"/>
        <color theme="1"/>
        <rFont val="Yu Gothic"/>
        <family val="2"/>
      </rPr>
      <t/>
    </r>
    <rPh sb="4" eb="5">
      <t>ネン</t>
    </rPh>
    <rPh sb="6" eb="7">
      <t>ガツ</t>
    </rPh>
    <rPh sb="9" eb="10">
      <t>ニチ</t>
    </rPh>
    <phoneticPr fontId="1"/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</si>
  <si>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26日</t>
    </r>
    <r>
      <rPr>
        <sz val="11"/>
        <color theme="1"/>
        <rFont val="Yu Gothic"/>
        <family val="2"/>
      </rPr>
      <t/>
    </r>
    <rPh sb="4" eb="5">
      <t>ネン</t>
    </rPh>
    <rPh sb="6" eb="7">
      <t>ガツ</t>
    </rPh>
    <rPh sb="9" eb="10">
      <t>ニチ</t>
    </rPh>
    <phoneticPr fontId="1"/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</si>
  <si>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27日</t>
    </r>
    <r>
      <rPr>
        <sz val="11"/>
        <color theme="1"/>
        <rFont val="Yu Gothic"/>
        <family val="2"/>
      </rPr>
      <t/>
    </r>
    <rPh sb="4" eb="5">
      <t>ネン</t>
    </rPh>
    <rPh sb="6" eb="7">
      <t>ガツ</t>
    </rPh>
    <rPh sb="9" eb="10">
      <t>ニチ</t>
    </rPh>
    <phoneticPr fontId="1"/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</si>
  <si>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28日</t>
    </r>
    <r>
      <rPr>
        <sz val="11"/>
        <color theme="1"/>
        <rFont val="Yu Gothic"/>
        <family val="2"/>
      </rPr>
      <t/>
    </r>
    <rPh sb="4" eb="5">
      <t>ネン</t>
    </rPh>
    <rPh sb="6" eb="7">
      <t>ガツ</t>
    </rPh>
    <rPh sb="9" eb="10">
      <t>ニチ</t>
    </rPh>
    <phoneticPr fontId="1"/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</si>
  <si>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29日</t>
    </r>
    <r>
      <rPr>
        <sz val="11"/>
        <color theme="1"/>
        <rFont val="Yu Gothic"/>
        <family val="2"/>
      </rPr>
      <t/>
    </r>
    <rPh sb="4" eb="5">
      <t>ネン</t>
    </rPh>
    <rPh sb="6" eb="7">
      <t>ガツ</t>
    </rPh>
    <rPh sb="9" eb="10">
      <t>ニチ</t>
    </rPh>
    <phoneticPr fontId="1"/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</si>
  <si>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30日</t>
    </r>
    <r>
      <rPr>
        <sz val="11"/>
        <color theme="1"/>
        <rFont val="Yu Gothic"/>
        <family val="2"/>
      </rPr>
      <t/>
    </r>
    <rPh sb="4" eb="5">
      <t>ネン</t>
    </rPh>
    <rPh sb="6" eb="7">
      <t>ガツ</t>
    </rPh>
    <rPh sb="9" eb="10">
      <t>ニチ</t>
    </rPh>
    <phoneticPr fontId="1"/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</si>
  <si>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31日</t>
    </r>
    <r>
      <rPr>
        <sz val="11"/>
        <color theme="1"/>
        <rFont val="Yu Gothic"/>
        <family val="2"/>
      </rPr>
      <t/>
    </r>
    <rPh sb="4" eb="5">
      <t>ネン</t>
    </rPh>
    <rPh sb="6" eb="7">
      <t>ガツ</t>
    </rPh>
    <rPh sb="9" eb="10">
      <t>ニチ</t>
    </rPh>
    <phoneticPr fontId="1"/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</si>
  <si>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32日</t>
    </r>
    <r>
      <rPr>
        <sz val="11"/>
        <color theme="1"/>
        <rFont val="Yu Gothic"/>
        <family val="2"/>
      </rPr>
      <t/>
    </r>
    <rPh sb="4" eb="5">
      <t>ネン</t>
    </rPh>
    <rPh sb="6" eb="7">
      <t>ガツ</t>
    </rPh>
    <rPh sb="9" eb="10">
      <t>ニチ</t>
    </rPh>
    <phoneticPr fontId="1"/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</si>
  <si>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33日</t>
    </r>
    <r>
      <rPr>
        <sz val="11"/>
        <color theme="1"/>
        <rFont val="Yu Gothic"/>
        <family val="2"/>
      </rPr>
      <t/>
    </r>
    <rPh sb="4" eb="5">
      <t>ネン</t>
    </rPh>
    <rPh sb="6" eb="7">
      <t>ガツ</t>
    </rPh>
    <rPh sb="9" eb="10">
      <t>ニチ</t>
    </rPh>
    <phoneticPr fontId="1"/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</si>
  <si>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34日</t>
    </r>
    <r>
      <rPr>
        <sz val="11"/>
        <color theme="1"/>
        <rFont val="Yu Gothic"/>
        <family val="2"/>
      </rPr>
      <t/>
    </r>
    <rPh sb="4" eb="5">
      <t>ネン</t>
    </rPh>
    <rPh sb="6" eb="7">
      <t>ガツ</t>
    </rPh>
    <rPh sb="9" eb="10">
      <t>ニチ</t>
    </rPh>
    <phoneticPr fontId="1"/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</si>
  <si>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35日</t>
    </r>
    <r>
      <rPr>
        <sz val="11"/>
        <color theme="1"/>
        <rFont val="Yu Gothic"/>
        <family val="2"/>
      </rPr>
      <t/>
    </r>
    <rPh sb="4" eb="5">
      <t>ネン</t>
    </rPh>
    <rPh sb="6" eb="7">
      <t>ガツ</t>
    </rPh>
    <rPh sb="9" eb="10">
      <t>ニチ</t>
    </rPh>
    <phoneticPr fontId="1"/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</si>
  <si>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36日</t>
    </r>
    <r>
      <rPr>
        <sz val="11"/>
        <color theme="1"/>
        <rFont val="Yu Gothic"/>
        <family val="2"/>
      </rPr>
      <t/>
    </r>
    <rPh sb="4" eb="5">
      <t>ネン</t>
    </rPh>
    <rPh sb="6" eb="7">
      <t>ガツ</t>
    </rPh>
    <rPh sb="9" eb="10">
      <t>ニチ</t>
    </rPh>
    <phoneticPr fontId="1"/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</si>
  <si>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37日</t>
    </r>
    <r>
      <rPr>
        <sz val="11"/>
        <color theme="1"/>
        <rFont val="Yu Gothic"/>
        <family val="2"/>
      </rPr>
      <t/>
    </r>
    <rPh sb="4" eb="5">
      <t>ネン</t>
    </rPh>
    <rPh sb="6" eb="7">
      <t>ガツ</t>
    </rPh>
    <rPh sb="9" eb="10">
      <t>ニチ</t>
    </rPh>
    <phoneticPr fontId="1"/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</si>
  <si>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38日</t>
    </r>
    <r>
      <rPr>
        <sz val="11"/>
        <color theme="1"/>
        <rFont val="Yu Gothic"/>
        <family val="2"/>
      </rPr>
      <t/>
    </r>
    <rPh sb="4" eb="5">
      <t>ネン</t>
    </rPh>
    <rPh sb="6" eb="7">
      <t>ガツ</t>
    </rPh>
    <rPh sb="9" eb="10">
      <t>ニチ</t>
    </rPh>
    <phoneticPr fontId="1"/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</si>
  <si>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39日</t>
    </r>
    <r>
      <rPr>
        <sz val="11"/>
        <color theme="1"/>
        <rFont val="Yu Gothic"/>
        <family val="2"/>
      </rPr>
      <t/>
    </r>
    <rPh sb="4" eb="5">
      <t>ネン</t>
    </rPh>
    <rPh sb="6" eb="7">
      <t>ガツ</t>
    </rPh>
    <rPh sb="9" eb="10">
      <t>ニチ</t>
    </rPh>
    <phoneticPr fontId="1"/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</si>
  <si>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40日</t>
    </r>
    <r>
      <rPr>
        <sz val="11"/>
        <color theme="1"/>
        <rFont val="Yu Gothic"/>
        <family val="2"/>
      </rPr>
      <t/>
    </r>
    <rPh sb="4" eb="5">
      <t>ネン</t>
    </rPh>
    <rPh sb="6" eb="7">
      <t>ガツ</t>
    </rPh>
    <rPh sb="9" eb="10">
      <t>ニチ</t>
    </rPh>
    <phoneticPr fontId="1"/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</si>
  <si>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41日</t>
    </r>
    <r>
      <rPr>
        <sz val="11"/>
        <color theme="1"/>
        <rFont val="Yu Gothic"/>
        <family val="2"/>
      </rPr>
      <t/>
    </r>
    <rPh sb="4" eb="5">
      <t>ネン</t>
    </rPh>
    <rPh sb="6" eb="7">
      <t>ガツ</t>
    </rPh>
    <rPh sb="9" eb="10">
      <t>ニチ</t>
    </rPh>
    <phoneticPr fontId="1"/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</si>
  <si>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42日</t>
    </r>
    <r>
      <rPr>
        <sz val="11"/>
        <color theme="1"/>
        <rFont val="Yu Gothic"/>
        <family val="2"/>
      </rPr>
      <t/>
    </r>
    <rPh sb="4" eb="5">
      <t>ネン</t>
    </rPh>
    <rPh sb="6" eb="7">
      <t>ガツ</t>
    </rPh>
    <rPh sb="9" eb="10">
      <t>ニチ</t>
    </rPh>
    <phoneticPr fontId="1"/>
  </si>
  <si>
    <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10</t>
    </r>
    <r>
      <rPr>
        <sz val="11"/>
        <color theme="1"/>
        <rFont val="Yu Gothic"/>
        <family val="2"/>
      </rPr>
      <t>日～</t>
    </r>
    <r>
      <rPr>
        <sz val="11"/>
        <color theme="1"/>
        <rFont val="Arial"/>
        <family val="2"/>
      </rPr>
      <t>2026</t>
    </r>
    <r>
      <rPr>
        <sz val="11"/>
        <color theme="1"/>
        <rFont val="Yu Gothic"/>
        <family val="2"/>
      </rPr>
      <t>年</t>
    </r>
    <r>
      <rPr>
        <sz val="11"/>
        <color theme="1"/>
        <rFont val="Arial"/>
        <family val="2"/>
      </rPr>
      <t>5</t>
    </r>
    <r>
      <rPr>
        <sz val="11"/>
        <color theme="1"/>
        <rFont val="Yu Gothic"/>
        <family val="2"/>
      </rPr>
      <t>月</t>
    </r>
    <r>
      <rPr>
        <sz val="11"/>
        <color theme="1"/>
        <rFont val="Arial"/>
        <family val="2"/>
      </rPr>
      <t>43日</t>
    </r>
    <r>
      <rPr>
        <sz val="11"/>
        <color theme="1"/>
        <rFont val="Yu Gothic"/>
        <family val="2"/>
      </rPr>
      <t/>
    </r>
    <rPh sb="4" eb="5">
      <t>ネン</t>
    </rPh>
    <rPh sb="6" eb="7">
      <t>ガツ</t>
    </rPh>
    <rPh sb="9" eb="10">
      <t>ニチ</t>
    </rPh>
    <phoneticPr fontId="1"/>
  </si>
  <si>
    <t>LISN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</si>
</sst>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[$-F800]dddd\,\ mmmm\ dd\,\ yyyy"/>
  </numFmts>
  <fonts count="6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22"/>
      <color theme="1"/>
      <name val="Yu Gothic"/>
      <family val="3"/>
      <charset val="128"/>
      <scheme val="minor"/>
    </font>
    <font>
      <sz val="11"/>
      <color theme="1"/>
      <name val="Arial"/>
      <family val="2"/>
    </font>
    <font>
      <sz val="11"/>
      <color theme="1"/>
      <name val="Yu Gothic"/>
      <family val="2"/>
    </font>
    <font>
      <b/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1" fontId="3" fillId="0" borderId="1" xfId="0" applyNumberFormat="1" applyFont="1" applyBorder="1" applyAlignment="1">
      <alignment horizontal="center" vertic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180" fontId="5" fillId="0" borderId="0" xfId="0" applyNumberFormat="1" applyFont="1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190500</xdr:colOff>
          <xdr:row>5</xdr:row>
          <xdr:rowOff>114300</xdr:rowOff>
        </xdr:from>
        <xdr:to>
          <xdr:col>3</xdr:col>
          <xdr:colOff>754380</xdr:colOff>
          <xdr:row>6</xdr:row>
          <xdr:rowOff>152400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45720" rIns="36576" bIns="45720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Yu Gothic"/>
                  <a:ea typeface="Yu Gothic"/>
                </a:rPr>
                <a:t>ボタン 1</a:t>
              </a:r>
            </a:p>
          </xdr:txBody>
        </xdr:sp>
        <xdr:clientData fPrintsWithSheet="0"/>
      </xdr:twoCellAnchor>
    </mc:Choice>
    <mc:Fallback/>
  </mc:AlternateContent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G50"/>
  <sheetViews>
    <sheetView workbookViewId="0">
      <selection activeCell="B7" sqref="B7"/>
    </sheetView>
  </sheetViews>
  <sheetFormatPr defaultRowHeight="18"/>
  <cols>
    <col min="2" max="2" width="40.69921875" customWidth="1"/>
    <col min="3" max="4" width="22.69921875" customWidth="1"/>
    <col min="5" max="5" width="19" customWidth="1"/>
    <col min="6" max="6" width="23.3984375" customWidth="1"/>
  </cols>
  <sheetData>
    <row r="2" spans="2:7">
      <c r="B2" s="14" t="s">
        <v>0</v>
      </c>
      <c r="C2" s="14"/>
      <c r="D2" s="14"/>
      <c r="E2" s="14"/>
      <c r="F2" s="14"/>
      <c r="G2" s="14"/>
    </row>
    <row r="3" spans="2:7">
      <c r="B3" s="14"/>
      <c r="C3" s="14"/>
      <c r="D3" s="14"/>
      <c r="E3" s="14"/>
      <c r="F3" s="14"/>
      <c r="G3" s="14"/>
    </row>
    <row r="4" spans="2:7">
      <c r="B4" s="15" t="s">
        <v>1</v>
      </c>
      <c r="C4" s="15"/>
      <c r="D4" s="15"/>
      <c r="E4" s="15"/>
      <c r="F4" s="15"/>
      <c r="G4" s="15"/>
    </row>
    <row r="6" spans="2:7">
      <c r="B6" s="3" t="s">
        <v>2</v>
      </c>
    </row>
    <row r="7" spans="2:7">
      <c r="B7" s="3"/>
    </row>
    <row r="10" spans="2:7">
      <c r="B10" t="s">
        <v>3</v>
      </c>
    </row>
    <row r="11" spans="2:7">
      <c r="B11" s="16" t="s">
        <v>4</v>
      </c>
      <c r="C11" s="1" t="s">
        <v>5</v>
      </c>
      <c r="D11" s="16" t="s">
        <v>7</v>
      </c>
      <c r="E11" s="1" t="s">
        <v>8</v>
      </c>
      <c r="F11" s="1" t="s">
        <v>10</v>
      </c>
    </row>
    <row r="12" spans="2:7">
      <c r="B12" s="16"/>
      <c r="C12" s="1" t="s">
        <v>6</v>
      </c>
      <c r="D12" s="16"/>
      <c r="E12" s="1" t="s">
        <v>9</v>
      </c>
      <c r="F12" s="1" t="s">
        <v>11</v>
      </c>
    </row>
    <row r="13" spans="2:7">
      <c r="B13" s="13"/>
      <c r="C13" s="3"/>
      <c r="D13" s="13"/>
      <c r="E13" s="3"/>
      <c r="F13" s="3"/>
    </row>
    <row r="14" spans="2:7">
      <c r="B14" s="13"/>
      <c r="C14" s="3"/>
      <c r="D14" s="13"/>
      <c r="E14" s="3"/>
      <c r="F14" s="3"/>
    </row>
    <row r="15" spans="2:7">
      <c r="B15" s="13"/>
      <c r="C15" s="3"/>
      <c r="D15" s="13"/>
      <c r="E15" s="3"/>
      <c r="F15" s="3"/>
    </row>
    <row r="16" spans="2:7">
      <c r="B16" s="13"/>
      <c r="C16" s="3"/>
      <c r="D16" s="13"/>
      <c r="E16" s="3"/>
      <c r="F16" s="3"/>
    </row>
    <row r="17" spans="2:6">
      <c r="B17" s="13"/>
      <c r="C17" s="3"/>
      <c r="D17" s="13"/>
      <c r="E17" s="3"/>
      <c r="F17" s="3"/>
    </row>
    <row r="18" spans="2:6">
      <c r="B18" s="13"/>
      <c r="C18" s="3"/>
      <c r="D18" s="13"/>
      <c r="E18" s="3"/>
      <c r="F18" s="3"/>
    </row>
    <row r="19" spans="2:6">
      <c r="B19" s="13"/>
      <c r="C19" s="3"/>
      <c r="D19" s="13"/>
      <c r="E19" s="3"/>
      <c r="F19" s="3"/>
    </row>
    <row r="20" spans="2:6">
      <c r="B20" s="13"/>
      <c r="C20" s="3"/>
      <c r="D20" s="13"/>
      <c r="E20" s="3"/>
      <c r="F20" s="3"/>
    </row>
    <row r="21" spans="2:6">
      <c r="B21" s="13"/>
      <c r="C21" s="3"/>
      <c r="D21" s="13"/>
      <c r="E21" s="3"/>
      <c r="F21" s="3"/>
    </row>
    <row r="22" spans="2:6">
      <c r="B22" s="13"/>
      <c r="C22" s="3"/>
      <c r="D22" s="13"/>
      <c r="E22" s="3"/>
      <c r="F22" s="3"/>
    </row>
    <row r="23" spans="2:6">
      <c r="B23" s="13"/>
      <c r="C23" s="3"/>
      <c r="D23" s="13"/>
      <c r="E23" s="3"/>
      <c r="F23" s="3"/>
    </row>
    <row r="24" spans="2:6">
      <c r="B24" s="13"/>
      <c r="C24" s="3"/>
      <c r="D24" s="13"/>
      <c r="E24" s="3"/>
      <c r="F24" s="3"/>
    </row>
    <row r="25" spans="2:6">
      <c r="B25" s="13"/>
      <c r="C25" s="3"/>
      <c r="D25" s="13"/>
      <c r="E25" s="3"/>
      <c r="F25" s="3"/>
    </row>
    <row r="26" spans="2:6">
      <c r="B26" s="13"/>
      <c r="C26" s="3"/>
      <c r="D26" s="13"/>
      <c r="E26" s="3"/>
      <c r="F26" s="3"/>
    </row>
    <row r="27" spans="2:6">
      <c r="B27" s="13"/>
      <c r="C27" s="3"/>
      <c r="D27" s="13"/>
      <c r="E27" s="3"/>
      <c r="F27" s="3"/>
    </row>
    <row r="28" spans="2:6">
      <c r="B28" s="13"/>
      <c r="C28" s="3"/>
      <c r="D28" s="13"/>
      <c r="E28" s="3"/>
      <c r="F28" s="3"/>
    </row>
    <row r="29" spans="2:6">
      <c r="B29" s="13"/>
      <c r="C29" s="3"/>
      <c r="D29" s="13"/>
      <c r="E29" s="3"/>
      <c r="F29" s="3"/>
    </row>
    <row r="30" spans="2:6">
      <c r="B30" s="13"/>
      <c r="C30" s="3"/>
      <c r="D30" s="13"/>
      <c r="E30" s="3"/>
      <c r="F30" s="3"/>
    </row>
    <row r="31" spans="2:6">
      <c r="B31" s="13"/>
      <c r="C31" s="3"/>
      <c r="D31" s="13"/>
      <c r="E31" s="3"/>
      <c r="F31" s="3"/>
    </row>
    <row r="32" spans="2:6">
      <c r="B32" s="13"/>
      <c r="C32" s="3"/>
      <c r="D32" s="13"/>
      <c r="E32" s="3"/>
      <c r="F32" s="3"/>
    </row>
    <row r="33" spans="2:6">
      <c r="B33" s="13"/>
      <c r="C33" s="3"/>
      <c r="D33" s="13"/>
      <c r="E33" s="3"/>
      <c r="F33" s="3"/>
    </row>
    <row r="34" spans="2:6">
      <c r="B34" s="13"/>
      <c r="C34" s="3"/>
      <c r="D34" s="13"/>
      <c r="E34" s="3"/>
      <c r="F34" s="3"/>
    </row>
    <row r="35" spans="2:6">
      <c r="B35" s="13"/>
      <c r="C35" s="3"/>
      <c r="D35" s="13"/>
      <c r="E35" s="3"/>
      <c r="F35" s="3"/>
    </row>
    <row r="36" spans="2:6">
      <c r="B36" s="13"/>
      <c r="C36" s="3"/>
      <c r="D36" s="13"/>
      <c r="E36" s="3"/>
      <c r="F36" s="3"/>
    </row>
    <row r="37" spans="2:6">
      <c r="B37" s="13"/>
      <c r="C37" s="3"/>
      <c r="D37" s="13"/>
      <c r="E37" s="3"/>
      <c r="F37" s="3"/>
    </row>
    <row r="38" spans="2:6">
      <c r="B38" s="13"/>
      <c r="C38" s="3"/>
      <c r="D38" s="13"/>
      <c r="E38" s="3"/>
      <c r="F38" s="3"/>
    </row>
    <row r="39" spans="2:6">
      <c r="B39" s="13"/>
      <c r="C39" s="3"/>
      <c r="D39" s="13"/>
      <c r="E39" s="3"/>
      <c r="F39" s="3"/>
    </row>
    <row r="40" spans="2:6">
      <c r="B40" s="13"/>
      <c r="C40" s="3"/>
      <c r="D40" s="13"/>
      <c r="E40" s="3"/>
      <c r="F40" s="3"/>
    </row>
    <row r="41" spans="2:6">
      <c r="B41" s="13"/>
      <c r="C41" s="3"/>
      <c r="D41" s="13"/>
      <c r="E41" s="3"/>
      <c r="F41" s="3"/>
    </row>
    <row r="42" spans="2:6">
      <c r="B42" s="13"/>
      <c r="C42" s="3"/>
      <c r="D42" s="13"/>
      <c r="E42" s="3"/>
      <c r="F42" s="3"/>
    </row>
    <row r="43" spans="2:6">
      <c r="B43" s="13"/>
      <c r="C43" s="3"/>
      <c r="D43" s="13"/>
      <c r="E43" s="3"/>
      <c r="F43" s="3"/>
    </row>
    <row r="44" spans="2:6">
      <c r="B44" s="13"/>
      <c r="C44" s="3"/>
      <c r="D44" s="13"/>
      <c r="E44" s="3"/>
      <c r="F44" s="3"/>
    </row>
    <row r="45" spans="2:6">
      <c r="B45" s="13"/>
      <c r="C45" s="3"/>
      <c r="D45" s="13"/>
      <c r="E45" s="3"/>
      <c r="F45" s="3"/>
    </row>
    <row r="46" spans="2:6">
      <c r="B46" s="13"/>
      <c r="C46" s="3"/>
      <c r="D46" s="13"/>
      <c r="E46" s="3"/>
      <c r="F46" s="3"/>
    </row>
    <row r="47" spans="2:6">
      <c r="B47" s="13"/>
      <c r="C47" s="3"/>
      <c r="D47" s="13"/>
      <c r="E47" s="3"/>
      <c r="F47" s="3"/>
    </row>
    <row r="48" spans="2:6">
      <c r="B48" s="13"/>
      <c r="C48" s="3"/>
      <c r="D48" s="13"/>
      <c r="E48" s="3"/>
      <c r="F48" s="3"/>
    </row>
    <row r="49" spans="2:6">
      <c r="B49" s="13"/>
      <c r="C49" s="3"/>
      <c r="D49" s="13"/>
      <c r="E49" s="3"/>
      <c r="F49" s="3"/>
    </row>
    <row r="50" spans="2:6">
      <c r="B50" s="13"/>
      <c r="C50" s="3"/>
      <c r="D50" s="13"/>
      <c r="E50" s="3"/>
      <c r="F50" s="3"/>
    </row>
  </sheetData>
  <mergeCells count="42">
    <mergeCell ref="B2:G3"/>
    <mergeCell ref="B4:G4"/>
    <mergeCell ref="B11:B12"/>
    <mergeCell ref="D11:D12"/>
    <mergeCell ref="B13:B14"/>
    <mergeCell ref="D13:D14"/>
    <mergeCell ref="B15:B16"/>
    <mergeCell ref="D15:D16"/>
    <mergeCell ref="B17:B18"/>
    <mergeCell ref="D17:D18"/>
    <mergeCell ref="B19:B20"/>
    <mergeCell ref="D19:D20"/>
    <mergeCell ref="B21:B22"/>
    <mergeCell ref="D21:D22"/>
    <mergeCell ref="B23:B24"/>
    <mergeCell ref="D23:D24"/>
    <mergeCell ref="B25:B26"/>
    <mergeCell ref="D25:D26"/>
    <mergeCell ref="B27:B28"/>
    <mergeCell ref="D27:D28"/>
    <mergeCell ref="B29:B30"/>
    <mergeCell ref="D29:D30"/>
    <mergeCell ref="B31:B32"/>
    <mergeCell ref="D31:D32"/>
    <mergeCell ref="B33:B34"/>
    <mergeCell ref="D33:D34"/>
    <mergeCell ref="B35:B36"/>
    <mergeCell ref="D35:D36"/>
    <mergeCell ref="B37:B38"/>
    <mergeCell ref="D37:D38"/>
    <mergeCell ref="B39:B40"/>
    <mergeCell ref="D39:D40"/>
    <mergeCell ref="B41:B42"/>
    <mergeCell ref="D41:D42"/>
    <mergeCell ref="B43:B44"/>
    <mergeCell ref="D43:D44"/>
    <mergeCell ref="B45:B46"/>
    <mergeCell ref="D45:D46"/>
    <mergeCell ref="B47:B48"/>
    <mergeCell ref="D47:D48"/>
    <mergeCell ref="B49:B50"/>
    <mergeCell ref="D49:D50"/>
  </mergeCells>
  <phoneticPr fontId="1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ShowEquipmentForm">
                <anchor moveWithCells="1">
                  <from>
                    <xdr:col>3</xdr:col>
                    <xdr:colOff>190500</xdr:colOff>
                    <xdr:row>5</xdr:row>
                    <xdr:rowOff>114300</xdr:rowOff>
                  </from>
                  <to>
                    <xdr:col>3</xdr:col>
                    <xdr:colOff>754380</xdr:colOff>
                    <xdr:row>6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A77E3-C5E0-4DD3-8C14-7F4506D40894}">
  <sheetPr codeName="Sheet2"/>
  <dimension ref="B2:J97"/>
  <sheetViews>
    <sheetView topLeftCell="A15" workbookViewId="0">
      <selection activeCell="C34" sqref="C34"/>
    </sheetView>
  </sheetViews>
  <sheetFormatPr defaultRowHeight="18"/>
  <cols>
    <col min="2" max="2" width="9.59765625" bestFit="1" customWidth="1"/>
    <col min="3" max="3" width="20" bestFit="1" customWidth="1"/>
    <col min="6" max="6" width="35.69921875" bestFit="1" customWidth="1"/>
    <col min="10" max="10" width="29.59765625" bestFit="1" customWidth="1"/>
  </cols>
  <sheetData>
    <row r="2" spans="2:6">
      <c r="B2" s="2" t="s">
        <v>12</v>
      </c>
      <c r="C2" s="3" t="s">
        <v>33</v>
      </c>
      <c r="F2" t="s">
        <v>42</v>
      </c>
    </row>
    <row r="3" spans="2:6">
      <c r="B3" s="3" t="s">
        <v>13</v>
      </c>
      <c r="C3" s="3" t="s">
        <v>34</v>
      </c>
      <c r="E3" s="7" t="b">
        <v>0</v>
      </c>
      <c r="F3" s="3" t="s">
        <v>36</v>
      </c>
    </row>
    <row r="4" spans="2:6">
      <c r="B4" s="3" t="s">
        <v>14</v>
      </c>
      <c r="C4" s="3" t="s">
        <v>35</v>
      </c>
      <c r="E4" s="7" t="b">
        <v>0</v>
      </c>
      <c r="F4" s="3" t="s">
        <v>37</v>
      </c>
    </row>
    <row r="5" spans="2:6">
      <c r="B5" s="3" t="s">
        <v>15</v>
      </c>
      <c r="E5" s="7" t="b">
        <v>0</v>
      </c>
      <c r="F5" s="3" t="s">
        <v>38</v>
      </c>
    </row>
    <row r="6" spans="2:6">
      <c r="B6" s="3" t="s">
        <v>16</v>
      </c>
      <c r="E6" s="7" t="b">
        <v>0</v>
      </c>
      <c r="F6" s="3" t="s">
        <v>39</v>
      </c>
    </row>
    <row r="7" spans="2:6">
      <c r="B7" s="3" t="s">
        <v>17</v>
      </c>
      <c r="E7" s="7" t="b">
        <v>0</v>
      </c>
      <c r="F7" s="3" t="s">
        <v>40</v>
      </c>
    </row>
    <row r="8" spans="2:6">
      <c r="B8" s="3" t="s">
        <v>18</v>
      </c>
      <c r="E8" s="7" t="b">
        <v>0</v>
      </c>
      <c r="F8" s="3" t="s">
        <v>41</v>
      </c>
    </row>
    <row r="9" spans="2:6">
      <c r="B9" s="3" t="s">
        <v>19</v>
      </c>
    </row>
    <row r="10" spans="2:6">
      <c r="B10" s="3" t="s">
        <v>20</v>
      </c>
    </row>
    <row r="11" spans="2:6">
      <c r="B11" s="3" t="s">
        <v>21</v>
      </c>
      <c r="F11" t="s">
        <v>43</v>
      </c>
    </row>
    <row r="12" spans="2:6">
      <c r="B12" s="3" t="s">
        <v>22</v>
      </c>
      <c r="E12" s="7" t="b">
        <v>0</v>
      </c>
      <c r="F12" s="3" t="s">
        <v>36</v>
      </c>
    </row>
    <row r="13" spans="2:6">
      <c r="B13" s="3" t="s">
        <v>23</v>
      </c>
      <c r="E13" s="7" t="b">
        <v>0</v>
      </c>
      <c r="F13" s="3" t="s">
        <v>37</v>
      </c>
    </row>
    <row r="14" spans="2:6">
      <c r="B14" s="3" t="s">
        <v>24</v>
      </c>
      <c r="E14" s="7" t="b">
        <v>0</v>
      </c>
      <c r="F14" s="3" t="s">
        <v>38</v>
      </c>
    </row>
    <row r="15" spans="2:6">
      <c r="B15" s="3" t="s">
        <v>25</v>
      </c>
      <c r="E15" s="7" t="b">
        <v>0</v>
      </c>
      <c r="F15" s="3" t="s">
        <v>39</v>
      </c>
    </row>
    <row r="16" spans="2:6">
      <c r="B16" s="3" t="s">
        <v>26</v>
      </c>
      <c r="E16" s="7" t="b">
        <v>0</v>
      </c>
      <c r="F16" s="3" t="s">
        <v>40</v>
      </c>
    </row>
    <row r="17" spans="2:10">
      <c r="B17" s="3" t="s">
        <v>27</v>
      </c>
      <c r="E17" s="7" t="b">
        <v>0</v>
      </c>
      <c r="F17" s="3" t="s">
        <v>41</v>
      </c>
    </row>
    <row r="18" spans="2:10">
      <c r="B18" s="3" t="s">
        <v>28</v>
      </c>
      <c r="E18" s="7" t="b">
        <v>0</v>
      </c>
      <c r="F18" s="3" t="s">
        <v>44</v>
      </c>
    </row>
    <row r="19" spans="2:10">
      <c r="B19" s="3" t="s">
        <v>29</v>
      </c>
    </row>
    <row r="20" spans="2:10">
      <c r="B20" s="3" t="s">
        <v>30</v>
      </c>
    </row>
    <row r="21" spans="2:10">
      <c r="B21" s="3" t="s">
        <v>31</v>
      </c>
    </row>
    <row r="22" spans="2:10">
      <c r="B22" s="3" t="s">
        <v>32</v>
      </c>
    </row>
    <row r="23" spans="2:10">
      <c r="F23" t="s">
        <v>45</v>
      </c>
    </row>
    <row r="24" spans="2:10">
      <c r="F24" t="s">
        <v>13</v>
      </c>
    </row>
    <row r="25" spans="2:10">
      <c r="F25" t="s">
        <v>34</v>
      </c>
    </row>
    <row r="26" spans="2:10">
      <c r="F26" s="12" t="s">
        <v>46</v>
      </c>
      <c r="G26" s="4" t="s">
        <v>47</v>
      </c>
      <c r="H26" s="12" t="s">
        <v>48</v>
      </c>
      <c r="I26" s="4" t="s">
        <v>49</v>
      </c>
      <c r="J26" s="4" t="s">
        <v>50</v>
      </c>
    </row>
    <row r="27" spans="2:10">
      <c r="F27" s="12"/>
      <c r="G27" s="4" t="s">
        <v>51</v>
      </c>
      <c r="H27" s="12"/>
      <c r="I27" s="4" t="s">
        <v>52</v>
      </c>
      <c r="J27" s="4" t="s">
        <v>53</v>
      </c>
    </row>
    <row r="28" spans="2:10">
      <c r="F28" s="10" t="s">
        <v>54</v>
      </c>
      <c r="G28" s="5">
        <v>11</v>
      </c>
      <c r="H28" s="9">
        <v>1111111</v>
      </c>
      <c r="I28" s="5">
        <v>1</v>
      </c>
      <c r="J28" s="6">
        <v>46173</v>
      </c>
    </row>
    <row r="29" spans="2:10">
      <c r="F29" s="11"/>
      <c r="G29" s="5">
        <v>11</v>
      </c>
      <c r="H29" s="9"/>
      <c r="I29" s="5" t="s">
        <v>55</v>
      </c>
      <c r="J29" s="6" t="s">
        <v>56</v>
      </c>
    </row>
    <row r="30" spans="2:10">
      <c r="F30" s="10" t="s">
        <v>57</v>
      </c>
      <c r="G30" s="5">
        <v>11</v>
      </c>
      <c r="H30" s="9">
        <v>1111112</v>
      </c>
      <c r="I30" s="5">
        <v>2</v>
      </c>
      <c r="J30" s="6">
        <v>46174</v>
      </c>
    </row>
    <row r="31" spans="2:10">
      <c r="F31" s="11"/>
      <c r="G31" s="5">
        <v>11</v>
      </c>
      <c r="H31" s="9"/>
      <c r="I31" s="5" t="s">
        <v>55</v>
      </c>
      <c r="J31" s="6" t="s">
        <v>61</v>
      </c>
    </row>
    <row r="32" spans="2:10">
      <c r="F32" s="10" t="s">
        <v>58</v>
      </c>
      <c r="G32" s="5">
        <v>11</v>
      </c>
      <c r="H32" s="9">
        <v>1111113</v>
      </c>
      <c r="I32" s="5">
        <v>3</v>
      </c>
      <c r="J32" s="6">
        <v>46175</v>
      </c>
    </row>
    <row r="33" spans="6:10">
      <c r="F33" s="11"/>
      <c r="G33" s="5">
        <v>11</v>
      </c>
      <c r="H33" s="9"/>
      <c r="I33" s="5" t="s">
        <v>55</v>
      </c>
      <c r="J33" s="6" t="s">
        <v>62</v>
      </c>
    </row>
    <row r="34" spans="6:10">
      <c r="F34" s="9" t="s">
        <v>39</v>
      </c>
      <c r="G34" s="5">
        <v>11</v>
      </c>
      <c r="H34" s="9">
        <v>1111114</v>
      </c>
      <c r="I34" s="5">
        <v>4</v>
      </c>
      <c r="J34" s="6">
        <v>46176</v>
      </c>
    </row>
    <row r="35" spans="6:10">
      <c r="F35" s="9"/>
      <c r="G35" s="5">
        <v>11</v>
      </c>
      <c r="H35" s="9"/>
      <c r="I35" s="5" t="s">
        <v>55</v>
      </c>
      <c r="J35" s="6" t="s">
        <v>63</v>
      </c>
    </row>
    <row r="36" spans="6:10">
      <c r="F36" s="9" t="s">
        <v>59</v>
      </c>
      <c r="G36" s="5">
        <v>11</v>
      </c>
      <c r="H36" s="9">
        <v>1111115</v>
      </c>
      <c r="I36" s="5">
        <v>5</v>
      </c>
      <c r="J36" s="6">
        <v>46177</v>
      </c>
    </row>
    <row r="37" spans="6:10">
      <c r="F37" s="9"/>
      <c r="G37" s="5">
        <v>11</v>
      </c>
      <c r="H37" s="9"/>
      <c r="I37" s="5" t="s">
        <v>55</v>
      </c>
      <c r="J37" s="6" t="s">
        <v>64</v>
      </c>
    </row>
    <row r="38" spans="6:10">
      <c r="F38" s="9" t="s">
        <v>60</v>
      </c>
      <c r="G38" s="5">
        <v>11</v>
      </c>
      <c r="H38" s="9">
        <v>1111116</v>
      </c>
      <c r="I38" s="5">
        <v>6</v>
      </c>
      <c r="J38" s="6">
        <v>46178</v>
      </c>
    </row>
    <row r="39" spans="6:10">
      <c r="F39" s="9"/>
      <c r="G39" s="5">
        <v>11</v>
      </c>
      <c r="H39" s="9"/>
      <c r="I39" s="5" t="s">
        <v>55</v>
      </c>
      <c r="J39" s="6" t="s">
        <v>65</v>
      </c>
    </row>
    <row r="41" spans="6:10">
      <c r="F41" t="s">
        <v>45</v>
      </c>
    </row>
    <row r="42" spans="6:10">
      <c r="F42" t="s">
        <v>13</v>
      </c>
    </row>
    <row r="43" spans="6:10">
      <c r="F43" t="s">
        <v>35</v>
      </c>
    </row>
    <row r="44" spans="6:10">
      <c r="F44" s="12" t="s">
        <v>46</v>
      </c>
      <c r="G44" s="4" t="s">
        <v>47</v>
      </c>
      <c r="H44" s="12" t="s">
        <v>48</v>
      </c>
      <c r="I44" s="4" t="s">
        <v>49</v>
      </c>
      <c r="J44" s="4" t="s">
        <v>50</v>
      </c>
    </row>
    <row r="45" spans="6:10">
      <c r="F45" s="12"/>
      <c r="G45" s="4" t="s">
        <v>51</v>
      </c>
      <c r="H45" s="12"/>
      <c r="I45" s="4" t="s">
        <v>52</v>
      </c>
      <c r="J45" s="4" t="s">
        <v>53</v>
      </c>
    </row>
    <row r="46" spans="6:10">
      <c r="F46" s="10" t="s">
        <v>54</v>
      </c>
      <c r="G46" s="5">
        <v>12</v>
      </c>
      <c r="H46" s="9">
        <v>1111117</v>
      </c>
      <c r="I46" s="5">
        <v>7</v>
      </c>
      <c r="J46" s="6">
        <v>46179</v>
      </c>
    </row>
    <row r="47" spans="6:10">
      <c r="F47" s="11"/>
      <c r="G47" s="5">
        <v>12</v>
      </c>
      <c r="H47" s="9"/>
      <c r="I47" s="5" t="s">
        <v>55</v>
      </c>
      <c r="J47" s="6" t="s">
        <v>66</v>
      </c>
    </row>
    <row r="48" spans="6:10">
      <c r="F48" s="10" t="s">
        <v>57</v>
      </c>
      <c r="G48" s="5">
        <v>12</v>
      </c>
      <c r="H48" s="9">
        <v>1111118</v>
      </c>
      <c r="I48" s="5">
        <v>8</v>
      </c>
      <c r="J48" s="6">
        <v>46180</v>
      </c>
    </row>
    <row r="49" spans="6:10">
      <c r="F49" s="11"/>
      <c r="G49" s="5">
        <v>12</v>
      </c>
      <c r="H49" s="9"/>
      <c r="I49" s="5" t="s">
        <v>55</v>
      </c>
      <c r="J49" s="6" t="s">
        <v>67</v>
      </c>
    </row>
    <row r="50" spans="6:10">
      <c r="F50" s="10" t="s">
        <v>58</v>
      </c>
      <c r="G50" s="5">
        <v>12</v>
      </c>
      <c r="H50" s="9">
        <v>1111119</v>
      </c>
      <c r="I50" s="5">
        <v>9</v>
      </c>
      <c r="J50" s="6">
        <v>46181</v>
      </c>
    </row>
    <row r="51" spans="6:10">
      <c r="F51" s="11"/>
      <c r="G51" s="5">
        <v>12</v>
      </c>
      <c r="H51" s="9"/>
      <c r="I51" s="5" t="s">
        <v>55</v>
      </c>
      <c r="J51" s="6" t="s">
        <v>68</v>
      </c>
    </row>
    <row r="52" spans="6:10">
      <c r="F52" s="9" t="s">
        <v>39</v>
      </c>
      <c r="G52" s="5">
        <v>12</v>
      </c>
      <c r="H52" s="9">
        <v>1111120</v>
      </c>
      <c r="I52" s="5">
        <v>10</v>
      </c>
      <c r="J52" s="6">
        <v>46182</v>
      </c>
    </row>
    <row r="53" spans="6:10">
      <c r="F53" s="9"/>
      <c r="G53" s="5">
        <v>12</v>
      </c>
      <c r="H53" s="9"/>
      <c r="I53" s="5" t="s">
        <v>55</v>
      </c>
      <c r="J53" s="6" t="s">
        <v>69</v>
      </c>
    </row>
    <row r="54" spans="6:10">
      <c r="F54" s="9" t="s">
        <v>59</v>
      </c>
      <c r="G54" s="5">
        <v>12</v>
      </c>
      <c r="H54" s="9">
        <v>1111121</v>
      </c>
      <c r="I54" s="5">
        <v>11</v>
      </c>
      <c r="J54" s="6">
        <v>46183</v>
      </c>
    </row>
    <row r="55" spans="6:10">
      <c r="F55" s="9"/>
      <c r="G55" s="5">
        <v>12</v>
      </c>
      <c r="H55" s="9"/>
      <c r="I55" s="5" t="s">
        <v>55</v>
      </c>
      <c r="J55" s="6" t="s">
        <v>70</v>
      </c>
    </row>
    <row r="56" spans="6:10">
      <c r="F56" s="9" t="s">
        <v>60</v>
      </c>
      <c r="G56" s="5">
        <v>12</v>
      </c>
      <c r="H56" s="9">
        <v>1111122</v>
      </c>
      <c r="I56" s="5">
        <v>12</v>
      </c>
      <c r="J56" s="6">
        <v>46184</v>
      </c>
    </row>
    <row r="57" spans="6:10">
      <c r="F57" s="9"/>
      <c r="G57" s="5">
        <v>12</v>
      </c>
      <c r="H57" s="9"/>
      <c r="I57" s="5" t="s">
        <v>55</v>
      </c>
      <c r="J57" s="6" t="s">
        <v>71</v>
      </c>
    </row>
    <row r="58" spans="6:10">
      <c r="F58" s="8" t="s">
        <v>44</v>
      </c>
      <c r="G58" s="5">
        <v>12</v>
      </c>
      <c r="H58" s="9">
        <v>1111123</v>
      </c>
      <c r="I58" s="5">
        <v>13</v>
      </c>
      <c r="J58" s="6">
        <v>46185</v>
      </c>
    </row>
    <row r="59" spans="6:10">
      <c r="F59" s="9"/>
      <c r="G59" s="5">
        <v>12</v>
      </c>
      <c r="H59" s="9"/>
      <c r="I59" s="5" t="s">
        <v>55</v>
      </c>
      <c r="J59" s="6" t="s">
        <v>72</v>
      </c>
    </row>
    <row r="61" spans="6:10">
      <c r="F61" t="s">
        <v>45</v>
      </c>
    </row>
    <row r="62" spans="6:10">
      <c r="F62" t="s">
        <v>14</v>
      </c>
    </row>
    <row r="63" spans="6:10">
      <c r="F63" t="s">
        <v>34</v>
      </c>
    </row>
    <row r="64" spans="6:10">
      <c r="F64" s="12" t="s">
        <v>46</v>
      </c>
      <c r="G64" s="4" t="s">
        <v>47</v>
      </c>
      <c r="H64" s="12" t="s">
        <v>48</v>
      </c>
      <c r="I64" s="4" t="s">
        <v>49</v>
      </c>
      <c r="J64" s="4" t="s">
        <v>50</v>
      </c>
    </row>
    <row r="65" spans="6:10">
      <c r="F65" s="12"/>
      <c r="G65" s="4" t="s">
        <v>51</v>
      </c>
      <c r="H65" s="12"/>
      <c r="I65" s="4" t="s">
        <v>52</v>
      </c>
      <c r="J65" s="4" t="s">
        <v>53</v>
      </c>
    </row>
    <row r="66" spans="6:10">
      <c r="F66" s="10" t="s">
        <v>54</v>
      </c>
      <c r="G66" s="5">
        <v>21</v>
      </c>
      <c r="H66" s="9">
        <v>2111111</v>
      </c>
      <c r="I66" s="5">
        <v>14</v>
      </c>
      <c r="J66" s="6">
        <v>46185</v>
      </c>
    </row>
    <row r="67" spans="6:10">
      <c r="F67" s="11"/>
      <c r="G67" s="5">
        <v>21</v>
      </c>
      <c r="H67" s="9"/>
      <c r="I67" s="5" t="s">
        <v>55</v>
      </c>
      <c r="J67" s="6" t="s">
        <v>72</v>
      </c>
    </row>
    <row r="68" spans="6:10">
      <c r="F68" s="10" t="s">
        <v>57</v>
      </c>
      <c r="G68" s="5">
        <v>21</v>
      </c>
      <c r="H68" s="9">
        <v>2111112</v>
      </c>
      <c r="I68" s="5">
        <v>15</v>
      </c>
      <c r="J68" s="6">
        <v>46186</v>
      </c>
    </row>
    <row r="69" spans="6:10">
      <c r="F69" s="11"/>
      <c r="G69" s="5">
        <v>21</v>
      </c>
      <c r="H69" s="9"/>
      <c r="I69" s="5" t="s">
        <v>55</v>
      </c>
      <c r="J69" s="6" t="s">
        <v>73</v>
      </c>
    </row>
    <row r="70" spans="6:10">
      <c r="F70" s="10" t="s">
        <v>58</v>
      </c>
      <c r="G70" s="5">
        <v>21</v>
      </c>
      <c r="H70" s="9">
        <v>2111113</v>
      </c>
      <c r="I70" s="5">
        <v>16</v>
      </c>
      <c r="J70" s="6">
        <v>46187</v>
      </c>
    </row>
    <row r="71" spans="6:10">
      <c r="F71" s="11"/>
      <c r="G71" s="5">
        <v>21</v>
      </c>
      <c r="H71" s="9"/>
      <c r="I71" s="5" t="s">
        <v>55</v>
      </c>
      <c r="J71" s="6" t="s">
        <v>74</v>
      </c>
    </row>
    <row r="72" spans="6:10">
      <c r="F72" s="9" t="s">
        <v>39</v>
      </c>
      <c r="G72" s="5">
        <v>21</v>
      </c>
      <c r="H72" s="9">
        <v>2111114</v>
      </c>
      <c r="I72" s="5">
        <v>17</v>
      </c>
      <c r="J72" s="6">
        <v>46188</v>
      </c>
    </row>
    <row r="73" spans="6:10">
      <c r="F73" s="9"/>
      <c r="G73" s="5">
        <v>21</v>
      </c>
      <c r="H73" s="9"/>
      <c r="I73" s="5" t="s">
        <v>55</v>
      </c>
      <c r="J73" s="6" t="s">
        <v>75</v>
      </c>
    </row>
    <row r="74" spans="6:10">
      <c r="F74" s="9" t="s">
        <v>59</v>
      </c>
      <c r="G74" s="5">
        <v>21</v>
      </c>
      <c r="H74" s="9">
        <v>2111115</v>
      </c>
      <c r="I74" s="5">
        <v>18</v>
      </c>
      <c r="J74" s="6">
        <v>46189</v>
      </c>
    </row>
    <row r="75" spans="6:10">
      <c r="F75" s="9"/>
      <c r="G75" s="5">
        <v>21</v>
      </c>
      <c r="H75" s="9"/>
      <c r="I75" s="5" t="s">
        <v>55</v>
      </c>
      <c r="J75" s="6" t="s">
        <v>76</v>
      </c>
    </row>
    <row r="76" spans="6:10">
      <c r="F76" s="9" t="s">
        <v>60</v>
      </c>
      <c r="G76" s="5">
        <v>21</v>
      </c>
      <c r="H76" s="9">
        <v>2111116</v>
      </c>
      <c r="I76" s="5">
        <v>19</v>
      </c>
      <c r="J76" s="6">
        <v>46190</v>
      </c>
    </row>
    <row r="77" spans="6:10">
      <c r="F77" s="9"/>
      <c r="G77" s="5">
        <v>21</v>
      </c>
      <c r="H77" s="9"/>
      <c r="I77" s="5" t="s">
        <v>55</v>
      </c>
      <c r="J77" s="6" t="s">
        <v>77</v>
      </c>
    </row>
    <row r="79" spans="6:10">
      <c r="F79" t="s">
        <v>45</v>
      </c>
    </row>
    <row r="80" spans="6:10">
      <c r="F80" t="s">
        <v>14</v>
      </c>
    </row>
    <row r="81" spans="6:10">
      <c r="F81" t="s">
        <v>35</v>
      </c>
    </row>
    <row r="82" spans="6:10">
      <c r="F82" s="12" t="s">
        <v>46</v>
      </c>
      <c r="G82" s="4" t="s">
        <v>47</v>
      </c>
      <c r="H82" s="12" t="s">
        <v>48</v>
      </c>
      <c r="I82" s="4" t="s">
        <v>49</v>
      </c>
      <c r="J82" s="4" t="s">
        <v>50</v>
      </c>
    </row>
    <row r="83" spans="6:10">
      <c r="F83" s="12"/>
      <c r="G83" s="4" t="s">
        <v>51</v>
      </c>
      <c r="H83" s="12"/>
      <c r="I83" s="4" t="s">
        <v>52</v>
      </c>
      <c r="J83" s="4" t="s">
        <v>53</v>
      </c>
    </row>
    <row r="84" spans="6:10">
      <c r="F84" s="10" t="s">
        <v>54</v>
      </c>
      <c r="G84" s="5">
        <v>22</v>
      </c>
      <c r="H84" s="9">
        <v>2111117</v>
      </c>
      <c r="I84" s="5">
        <v>20</v>
      </c>
      <c r="J84" s="6">
        <v>46190</v>
      </c>
    </row>
    <row r="85" spans="6:10">
      <c r="F85" s="11"/>
      <c r="G85" s="5">
        <v>22</v>
      </c>
      <c r="H85" s="9"/>
      <c r="I85" s="5" t="s">
        <v>55</v>
      </c>
      <c r="J85" s="6" t="s">
        <v>77</v>
      </c>
    </row>
    <row r="86" spans="6:10">
      <c r="F86" s="10" t="s">
        <v>57</v>
      </c>
      <c r="G86" s="5">
        <v>22</v>
      </c>
      <c r="H86" s="9">
        <v>2111118</v>
      </c>
      <c r="I86" s="5">
        <v>21</v>
      </c>
      <c r="J86" s="6">
        <v>46191</v>
      </c>
    </row>
    <row r="87" spans="6:10">
      <c r="F87" s="11"/>
      <c r="G87" s="5">
        <v>22</v>
      </c>
      <c r="H87" s="9"/>
      <c r="I87" s="5" t="s">
        <v>55</v>
      </c>
      <c r="J87" s="6" t="s">
        <v>78</v>
      </c>
    </row>
    <row r="88" spans="6:10">
      <c r="F88" s="10" t="s">
        <v>58</v>
      </c>
      <c r="G88" s="5">
        <v>22</v>
      </c>
      <c r="H88" s="9">
        <v>2111119</v>
      </c>
      <c r="I88" s="5">
        <v>22</v>
      </c>
      <c r="J88" s="6">
        <v>46192</v>
      </c>
    </row>
    <row r="89" spans="6:10">
      <c r="F89" s="11"/>
      <c r="G89" s="5">
        <v>22</v>
      </c>
      <c r="H89" s="9"/>
      <c r="I89" s="5" t="s">
        <v>55</v>
      </c>
      <c r="J89" s="6" t="s">
        <v>79</v>
      </c>
    </row>
    <row r="90" spans="6:10">
      <c r="F90" s="9" t="s">
        <v>39</v>
      </c>
      <c r="G90" s="5">
        <v>22</v>
      </c>
      <c r="H90" s="9">
        <v>2111120</v>
      </c>
      <c r="I90" s="5">
        <v>23</v>
      </c>
      <c r="J90" s="6">
        <v>46193</v>
      </c>
    </row>
    <row r="91" spans="6:10">
      <c r="F91" s="9"/>
      <c r="G91" s="5">
        <v>22</v>
      </c>
      <c r="H91" s="9"/>
      <c r="I91" s="5" t="s">
        <v>55</v>
      </c>
      <c r="J91" s="6" t="s">
        <v>80</v>
      </c>
    </row>
    <row r="92" spans="6:10">
      <c r="F92" s="9" t="s">
        <v>59</v>
      </c>
      <c r="G92" s="5">
        <v>22</v>
      </c>
      <c r="H92" s="9">
        <v>2111121</v>
      </c>
      <c r="I92" s="5">
        <v>24</v>
      </c>
      <c r="J92" s="6">
        <v>46194</v>
      </c>
    </row>
    <row r="93" spans="6:10">
      <c r="F93" s="9"/>
      <c r="G93" s="5">
        <v>22</v>
      </c>
      <c r="H93" s="9"/>
      <c r="I93" s="5" t="s">
        <v>55</v>
      </c>
      <c r="J93" s="6" t="s">
        <v>81</v>
      </c>
    </row>
    <row r="94" spans="6:10">
      <c r="F94" s="9" t="s">
        <v>60</v>
      </c>
      <c r="G94" s="5">
        <v>22</v>
      </c>
      <c r="H94" s="9">
        <v>2111122</v>
      </c>
      <c r="I94" s="5">
        <v>25</v>
      </c>
      <c r="J94" s="6">
        <v>46195</v>
      </c>
    </row>
    <row r="95" spans="6:10">
      <c r="F95" s="9"/>
      <c r="G95" s="5">
        <v>22</v>
      </c>
      <c r="H95" s="9"/>
      <c r="I95" s="5" t="s">
        <v>55</v>
      </c>
      <c r="J95" s="6" t="s">
        <v>82</v>
      </c>
    </row>
    <row r="96" spans="6:10">
      <c r="F96" s="8" t="s">
        <v>44</v>
      </c>
      <c r="G96" s="5">
        <v>22</v>
      </c>
      <c r="H96" s="9">
        <v>2111123</v>
      </c>
      <c r="I96" s="5">
        <v>26</v>
      </c>
      <c r="J96" s="6">
        <v>46196</v>
      </c>
    </row>
    <row r="97" spans="6:10">
      <c r="F97" s="9"/>
      <c r="G97" s="5">
        <v>22</v>
      </c>
      <c r="H97" s="9"/>
      <c r="I97" s="5" t="s">
        <v>55</v>
      </c>
      <c r="J97" s="6" t="s">
        <v>83</v>
      </c>
    </row>
  </sheetData>
  <mergeCells count="60">
    <mergeCell ref="F26:F27"/>
    <mergeCell ref="H26:H27"/>
    <mergeCell ref="F28:F29"/>
    <mergeCell ref="H28:H29"/>
    <mergeCell ref="F30:F31"/>
    <mergeCell ref="H30:H31"/>
    <mergeCell ref="F38:F39"/>
    <mergeCell ref="H38:H39"/>
    <mergeCell ref="F44:F45"/>
    <mergeCell ref="H44:H45"/>
    <mergeCell ref="F32:F33"/>
    <mergeCell ref="H32:H33"/>
    <mergeCell ref="F34:F35"/>
    <mergeCell ref="H34:H35"/>
    <mergeCell ref="F36:F37"/>
    <mergeCell ref="H36:H37"/>
    <mergeCell ref="F46:F47"/>
    <mergeCell ref="H46:H47"/>
    <mergeCell ref="F48:F49"/>
    <mergeCell ref="H48:H49"/>
    <mergeCell ref="F50:F51"/>
    <mergeCell ref="H50:H51"/>
    <mergeCell ref="F52:F53"/>
    <mergeCell ref="H52:H53"/>
    <mergeCell ref="F54:F55"/>
    <mergeCell ref="H54:H55"/>
    <mergeCell ref="F56:F57"/>
    <mergeCell ref="H56:H57"/>
    <mergeCell ref="F58:F59"/>
    <mergeCell ref="H58:H59"/>
    <mergeCell ref="F64:F65"/>
    <mergeCell ref="H64:H65"/>
    <mergeCell ref="F66:F67"/>
    <mergeCell ref="H66:H67"/>
    <mergeCell ref="F68:F69"/>
    <mergeCell ref="H68:H69"/>
    <mergeCell ref="F70:F71"/>
    <mergeCell ref="H70:H71"/>
    <mergeCell ref="F72:F73"/>
    <mergeCell ref="H72:H73"/>
    <mergeCell ref="F74:F75"/>
    <mergeCell ref="H74:H75"/>
    <mergeCell ref="F76:F77"/>
    <mergeCell ref="H76:H77"/>
    <mergeCell ref="F82:F83"/>
    <mergeCell ref="H82:H83"/>
    <mergeCell ref="F84:F85"/>
    <mergeCell ref="H84:H85"/>
    <mergeCell ref="F86:F87"/>
    <mergeCell ref="H86:H87"/>
    <mergeCell ref="F88:F89"/>
    <mergeCell ref="H88:H89"/>
    <mergeCell ref="F96:F97"/>
    <mergeCell ref="H96:H97"/>
    <mergeCell ref="F90:F91"/>
    <mergeCell ref="H90:H91"/>
    <mergeCell ref="F92:F93"/>
    <mergeCell ref="H92:H93"/>
    <mergeCell ref="F94:F95"/>
    <mergeCell ref="H94:H95"/>
  </mergeCells>
  <phoneticPr fontId="1"/>
  <dataValidations count="1">
    <dataValidation type="list" allowBlank="1" showInputMessage="1" showErrorMessage="1" sqref="B24" xr:uid="{C4EAA21F-61F2-44C5-A183-A389AB583DF5}">
      <formula1>$B$3:$B$22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3E0B2-0023-4A66-90B9-FB7D08CC413B}">
  <sheetPr codeName="Sheet3"/>
  <dimension ref="A1:E14"/>
  <sheetViews>
    <sheetView workbookViewId="0">
      <selection activeCell="D18" sqref="D18"/>
    </sheetView>
  </sheetViews>
  <sheetFormatPr defaultRowHeight="18"/>
  <cols>
    <col min="1" max="4" width="18.796875" customWidth="1"/>
    <col min="5" max="5" width="29.59765625" bestFit="1" customWidth="1"/>
  </cols>
  <sheetData>
    <row r="1" spans="1:5">
      <c r="A1" s="12" t="s">
        <v>46</v>
      </c>
      <c r="B1" s="4" t="s">
        <v>47</v>
      </c>
      <c r="C1" s="12" t="s">
        <v>48</v>
      </c>
      <c r="D1" s="4" t="s">
        <v>49</v>
      </c>
      <c r="E1" s="4" t="s">
        <v>50</v>
      </c>
    </row>
    <row r="2" spans="1:5">
      <c r="A2" s="12"/>
      <c r="B2" s="4" t="s">
        <v>51</v>
      </c>
      <c r="C2" s="12"/>
      <c r="D2" s="4" t="s">
        <v>52</v>
      </c>
      <c r="E2" s="4" t="s">
        <v>53</v>
      </c>
    </row>
    <row r="3" spans="1:5">
      <c r="A3" s="10" t="s">
        <v>54</v>
      </c>
      <c r="B3" s="5">
        <v>11</v>
      </c>
      <c r="C3" s="9">
        <v>1111111</v>
      </c>
      <c r="D3" s="5">
        <v>1</v>
      </c>
      <c r="E3" s="6">
        <v>46173</v>
      </c>
    </row>
    <row r="4" spans="1:5">
      <c r="A4" s="11"/>
      <c r="B4" s="5">
        <v>11</v>
      </c>
      <c r="C4" s="9"/>
      <c r="D4" s="5" t="s">
        <v>55</v>
      </c>
      <c r="E4" s="6" t="s">
        <v>56</v>
      </c>
    </row>
    <row r="5" spans="1:5">
      <c r="A5" s="10" t="s">
        <v>57</v>
      </c>
      <c r="B5" s="5">
        <v>11</v>
      </c>
      <c r="C5" s="9">
        <v>1111112</v>
      </c>
      <c r="D5" s="5">
        <v>2</v>
      </c>
      <c r="E5" s="6">
        <v>46174</v>
      </c>
    </row>
    <row r="6" spans="1:5">
      <c r="A6" s="11"/>
      <c r="B6" s="5">
        <v>11</v>
      </c>
      <c r="C6" s="9"/>
      <c r="D6" s="5" t="s">
        <v>55</v>
      </c>
      <c r="E6" s="6" t="s">
        <v>61</v>
      </c>
    </row>
    <row r="7" spans="1:5">
      <c r="A7" s="10" t="s">
        <v>58</v>
      </c>
      <c r="B7" s="5">
        <v>11</v>
      </c>
      <c r="C7" s="9">
        <v>1111113</v>
      </c>
      <c r="D7" s="5">
        <v>3</v>
      </c>
      <c r="E7" s="6">
        <v>46175</v>
      </c>
    </row>
    <row r="8" spans="1:5">
      <c r="A8" s="11"/>
      <c r="B8" s="5">
        <v>11</v>
      </c>
      <c r="C8" s="9"/>
      <c r="D8" s="5" t="s">
        <v>55</v>
      </c>
      <c r="E8" s="6" t="s">
        <v>62</v>
      </c>
    </row>
    <row r="9" spans="1:5">
      <c r="A9" s="9" t="s">
        <v>39</v>
      </c>
      <c r="B9" s="5">
        <v>11</v>
      </c>
      <c r="C9" s="9">
        <v>1111114</v>
      </c>
      <c r="D9" s="5">
        <v>4</v>
      </c>
      <c r="E9" s="6">
        <v>46176</v>
      </c>
    </row>
    <row r="10" spans="1:5">
      <c r="A10" s="9"/>
      <c r="B10" s="5">
        <v>11</v>
      </c>
      <c r="C10" s="9"/>
      <c r="D10" s="5" t="s">
        <v>55</v>
      </c>
      <c r="E10" s="6" t="s">
        <v>63</v>
      </c>
    </row>
    <row r="11" spans="1:5">
      <c r="A11" s="9" t="s">
        <v>59</v>
      </c>
      <c r="B11" s="5">
        <v>11</v>
      </c>
      <c r="C11" s="9">
        <v>1111115</v>
      </c>
      <c r="D11" s="5">
        <v>5</v>
      </c>
      <c r="E11" s="6">
        <v>46177</v>
      </c>
    </row>
    <row r="12" spans="1:5">
      <c r="A12" s="9"/>
      <c r="B12" s="5">
        <v>11</v>
      </c>
      <c r="C12" s="9"/>
      <c r="D12" s="5" t="s">
        <v>55</v>
      </c>
      <c r="E12" s="6" t="s">
        <v>64</v>
      </c>
    </row>
    <row r="13" spans="1:5">
      <c r="A13" s="9" t="s">
        <v>60</v>
      </c>
      <c r="B13" s="5">
        <v>11</v>
      </c>
      <c r="C13" s="9">
        <v>1111116</v>
      </c>
      <c r="D13" s="5">
        <v>6</v>
      </c>
      <c r="E13" s="6">
        <v>46178</v>
      </c>
    </row>
    <row r="14" spans="1:5">
      <c r="A14" s="9"/>
      <c r="B14" s="5">
        <v>11</v>
      </c>
      <c r="C14" s="9"/>
      <c r="D14" s="5" t="s">
        <v>55</v>
      </c>
      <c r="E14" s="6" t="s">
        <v>65</v>
      </c>
    </row>
  </sheetData>
  <mergeCells count="14">
    <mergeCell ref="A13:A14"/>
    <mergeCell ref="C13:C14"/>
    <mergeCell ref="A7:A8"/>
    <mergeCell ref="C7:C8"/>
    <mergeCell ref="A9:A10"/>
    <mergeCell ref="C9:C10"/>
    <mergeCell ref="A11:A12"/>
    <mergeCell ref="C11:C12"/>
    <mergeCell ref="A1:A2"/>
    <mergeCell ref="C1:C2"/>
    <mergeCell ref="A3:A4"/>
    <mergeCell ref="C3:C4"/>
    <mergeCell ref="A5:A6"/>
    <mergeCell ref="C5:C6"/>
  </mergeCells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3A3F7-2677-41A1-91EE-8B506F18AEC3}">
  <sheetPr codeName="Sheet4"/>
  <dimension ref="A2:E5"/>
  <sheetViews>
    <sheetView tabSelected="1" workbookViewId="0">
      <selection activeCell="B6" sqref="B6"/>
    </sheetView>
  </sheetViews>
  <sheetFormatPr defaultRowHeight="18"/>
  <cols>
    <col min="1" max="1" width="14.3984375" bestFit="1" customWidth="1"/>
    <col min="5" max="5" width="13.69921875" bestFit="1" customWidth="1"/>
  </cols>
  <sheetData>
    <row r="2" spans="1:5">
      <c r="A2" s="17" t="s">
        <v>54</v>
      </c>
      <c r="B2">
        <f>IFERROR(VLOOKUP($A2, マスタ!$A:$H, 2, FALSE), "")</f>
        <v>11</v>
      </c>
      <c r="C2" s="19">
        <f>IFERROR(VLOOKUP($A2, マスタ!$A:$H, 3, FALSE), "")</f>
        <v>1111111</v>
      </c>
      <c r="D2" s="18">
        <f>IFERROR(VLOOKUP($A2, マスタ!$A:$H, 4, FALSE), "")</f>
        <v>1</v>
      </c>
      <c r="E2" s="20">
        <f>IFERROR(VLOOKUP($A2, マスタ!$A:$H, 5, FALSE), "")</f>
        <v>46173</v>
      </c>
    </row>
    <row r="3" spans="1:5">
      <c r="A3" s="17"/>
      <c r="C3" s="19"/>
      <c r="D3" s="18">
        <f>IFERROR(VLOOKUP($A2, マスタ!$A:$H, 4, FALSE), "")</f>
        <v>1</v>
      </c>
    </row>
    <row r="4" spans="1:5">
      <c r="A4" s="17" t="s">
        <v>84</v>
      </c>
      <c r="B4" s="18" cm="1">
        <f t="array" ref="B4:E4">_xlfn.XLOOKUP(A4, マスタ!A:A, マスタ!B:E, "")</f>
        <v>11</v>
      </c>
      <c r="C4" s="21">
        <v>1111114</v>
      </c>
      <c r="D4">
        <v>4</v>
      </c>
      <c r="E4">
        <v>46176</v>
      </c>
    </row>
    <row r="5" spans="1:5">
      <c r="A5" s="17"/>
      <c r="B5" s="18" cm="1">
        <f t="array" ref="B5:E5">_xlfn.XLOOKUP(A4, マスタ!A:A, マスタ!B:E, "")</f>
        <v>11</v>
      </c>
      <c r="C5" s="21">
        <v>1111114</v>
      </c>
      <c r="D5">
        <v>4</v>
      </c>
      <c r="E5">
        <v>46176</v>
      </c>
    </row>
  </sheetData>
  <mergeCells count="3">
    <mergeCell ref="A2:A3"/>
    <mergeCell ref="C2:C3"/>
    <mergeCell ref="A4:A5"/>
  </mergeCells>
  <phoneticPr fontId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37CDF4B-9BAC-421B-B58E-5CA01A976570}">
          <x14:formula1>
            <xm:f>マスタ!$A$3:$A$14</xm:f>
          </x14:formula1>
          <xm:sqref>A2 A4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試験・測定機器一覧</vt:lpstr>
      <vt:lpstr>プルダウンのマスタリスト</vt:lpstr>
      <vt:lpstr>マスタ</vt:lpstr>
      <vt:lpstr>報告書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野村葵</dc:creator>
  <cp:lastModifiedBy>野村　葵_富山</cp:lastModifiedBy>
  <dcterms:created xsi:type="dcterms:W3CDTF">2015-06-05T18:19:34Z</dcterms:created>
  <dcterms:modified xsi:type="dcterms:W3CDTF">2026-06-09T16:39:54Z</dcterms:modified>
</cp:coreProperties>
</file>