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5076DBDD-8A98-407A-BF51-4E7323476FF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常設機器" sheetId="2" r:id="rId1"/>
    <sheet name="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20" i="2"/>
  <c r="E18" i="2"/>
  <c r="E16" i="2"/>
  <c r="E14" i="2"/>
  <c r="E12" i="2"/>
  <c r="E10" i="2"/>
  <c r="E8" i="2"/>
  <c r="E6" i="2"/>
  <c r="E4" i="2"/>
  <c r="E24" i="2"/>
  <c r="D24" i="2"/>
  <c r="B24" i="2"/>
  <c r="E23" i="2"/>
  <c r="D23" i="2"/>
  <c r="C23" i="2"/>
  <c r="B23" i="2"/>
  <c r="D22" i="2"/>
  <c r="B22" i="2"/>
  <c r="E21" i="2"/>
  <c r="D21" i="2"/>
  <c r="C21" i="2"/>
  <c r="B21" i="2"/>
  <c r="D20" i="2"/>
  <c r="B20" i="2"/>
  <c r="E19" i="2"/>
  <c r="D19" i="2"/>
  <c r="C19" i="2"/>
  <c r="B19" i="2"/>
  <c r="D18" i="2"/>
  <c r="B18" i="2"/>
  <c r="E17" i="2"/>
  <c r="D17" i="2"/>
  <c r="C17" i="2"/>
  <c r="B17" i="2"/>
  <c r="D16" i="2"/>
  <c r="B16" i="2"/>
  <c r="E15" i="2"/>
  <c r="D15" i="2"/>
  <c r="C15" i="2"/>
  <c r="B15" i="2"/>
  <c r="D14" i="2"/>
  <c r="B14" i="2"/>
  <c r="E13" i="2"/>
  <c r="D13" i="2"/>
  <c r="C13" i="2"/>
  <c r="B13" i="2"/>
  <c r="D12" i="2"/>
  <c r="B12" i="2"/>
  <c r="E11" i="2"/>
  <c r="D11" i="2"/>
  <c r="C11" i="2"/>
  <c r="B11" i="2"/>
  <c r="D10" i="2"/>
  <c r="B10" i="2"/>
  <c r="E9" i="2"/>
  <c r="D9" i="2"/>
  <c r="C9" i="2"/>
  <c r="B9" i="2"/>
  <c r="D8" i="2"/>
  <c r="B8" i="2"/>
  <c r="E7" i="2"/>
  <c r="D7" i="2"/>
  <c r="C7" i="2"/>
  <c r="B7" i="2"/>
  <c r="D6" i="2"/>
  <c r="B6" i="2"/>
  <c r="E5" i="2"/>
  <c r="D5" i="2"/>
  <c r="C5" i="2"/>
  <c r="B5" i="2"/>
  <c r="C25" i="2"/>
  <c r="C27" i="2"/>
  <c r="C29" i="2"/>
  <c r="C31" i="2"/>
  <c r="C33" i="2"/>
  <c r="C35" i="2"/>
  <c r="C37" i="2"/>
  <c r="C39" i="2"/>
  <c r="B4" i="2"/>
  <c r="E3" i="2"/>
  <c r="D4" i="2"/>
  <c r="D3" i="2"/>
  <c r="C3" i="2"/>
  <c r="B3" i="2"/>
</calcChain>
</file>

<file path=xl/sharedStrings.xml><?xml version="1.0" encoding="utf-8"?>
<sst xmlns="http://schemas.openxmlformats.org/spreadsheetml/2006/main" count="53" uniqueCount="26">
  <si>
    <r>
      <rPr>
        <sz val="11"/>
        <color theme="1"/>
        <rFont val="Yu Gothic"/>
        <family val="2"/>
      </rPr>
      <t>メーカー</t>
    </r>
    <phoneticPr fontId="3"/>
  </si>
  <si>
    <r>
      <rPr>
        <sz val="11"/>
        <color theme="1"/>
        <rFont val="Yu Gothic"/>
        <family val="2"/>
      </rPr>
      <t>全社連番</t>
    </r>
    <rPh sb="0" eb="4">
      <t>ゼンシャレンバン</t>
    </rPh>
    <phoneticPr fontId="3"/>
  </si>
  <si>
    <r>
      <rPr>
        <sz val="11"/>
        <color theme="1"/>
        <rFont val="Yu Gothic"/>
        <family val="2"/>
      </rPr>
      <t>管理</t>
    </r>
    <r>
      <rPr>
        <sz val="11"/>
        <color theme="1"/>
        <rFont val="Arial"/>
        <family val="2"/>
      </rPr>
      <t>No.</t>
    </r>
    <rPh sb="0" eb="2">
      <t>カンリ</t>
    </rPh>
    <phoneticPr fontId="3"/>
  </si>
  <si>
    <r>
      <rPr>
        <sz val="11"/>
        <color theme="1"/>
        <rFont val="Yu Gothic"/>
        <family val="2"/>
      </rPr>
      <t>有効期限</t>
    </r>
    <rPh sb="0" eb="4">
      <t>ユウコウキゲン</t>
    </rPh>
    <phoneticPr fontId="3"/>
  </si>
  <si>
    <r>
      <rPr>
        <sz val="11"/>
        <color theme="1"/>
        <rFont val="Yu Gothic"/>
        <family val="2"/>
      </rPr>
      <t>型式</t>
    </r>
    <rPh sb="0" eb="2">
      <t>カタシキ</t>
    </rPh>
    <phoneticPr fontId="3"/>
  </si>
  <si>
    <r>
      <rPr>
        <sz val="11"/>
        <color theme="1"/>
        <rFont val="Yu Gothic"/>
        <family val="2"/>
      </rPr>
      <t>管理部署</t>
    </r>
    <rPh sb="0" eb="4">
      <t>カンリブショ</t>
    </rPh>
    <phoneticPr fontId="3"/>
  </si>
  <si>
    <r>
      <rPr>
        <sz val="11"/>
        <color theme="1"/>
        <rFont val="Yu Gothic"/>
        <family val="2"/>
      </rPr>
      <t>使用期間</t>
    </r>
    <rPh sb="0" eb="4">
      <t>シヨウキカン</t>
    </rPh>
    <phoneticPr fontId="3"/>
  </si>
  <si>
    <r>
      <rPr>
        <sz val="11"/>
        <color theme="1"/>
        <rFont val="Yu Gothic"/>
        <family val="2"/>
      </rPr>
      <t>モビエレ</t>
    </r>
    <phoneticPr fontId="3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</si>
  <si>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20</t>
    </r>
    <r>
      <rPr>
        <sz val="11"/>
        <color theme="1"/>
        <rFont val="Yu Gothic"/>
        <family val="2"/>
      </rPr>
      <t>日</t>
    </r>
    <rPh sb="4" eb="5">
      <t>ネン</t>
    </rPh>
    <rPh sb="6" eb="7">
      <t>ガツ</t>
    </rPh>
    <rPh sb="9" eb="10">
      <t>ニチ</t>
    </rPh>
    <phoneticPr fontId="3"/>
  </si>
  <si>
    <r>
      <rPr>
        <sz val="11"/>
        <color theme="1"/>
        <rFont val="Yu Gothic"/>
        <family val="2"/>
      </rPr>
      <t>スペアナ</t>
    </r>
    <phoneticPr fontId="3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</si>
  <si>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3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</si>
  <si>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3"/>
  </si>
  <si>
    <t>名称</t>
    <rPh sb="0" eb="2">
      <t>メイショウ</t>
    </rPh>
    <phoneticPr fontId="3"/>
  </si>
  <si>
    <t>メーカー</t>
    <phoneticPr fontId="3"/>
  </si>
  <si>
    <t>全社連番</t>
    <rPh sb="0" eb="4">
      <t>ゼンシャレンバン</t>
    </rPh>
    <phoneticPr fontId="3"/>
  </si>
  <si>
    <t>管理No.</t>
    <rPh sb="0" eb="2">
      <t>カンリ</t>
    </rPh>
    <phoneticPr fontId="3"/>
  </si>
  <si>
    <t>有効期限</t>
    <rPh sb="0" eb="4">
      <t>ユウコウキゲン</t>
    </rPh>
    <phoneticPr fontId="3"/>
  </si>
  <si>
    <t>型式</t>
    <rPh sb="0" eb="2">
      <t>カタシキ</t>
    </rPh>
    <phoneticPr fontId="3"/>
  </si>
  <si>
    <t>管理部署</t>
    <rPh sb="0" eb="4">
      <t>カンリブショ</t>
    </rPh>
    <phoneticPr fontId="3"/>
  </si>
  <si>
    <t>使用期間</t>
    <rPh sb="0" eb="4">
      <t>シヨウキカン</t>
    </rPh>
    <phoneticPr fontId="3"/>
  </si>
  <si>
    <t>部屋</t>
    <rPh sb="0" eb="2">
      <t>ヘヤ</t>
    </rPh>
    <phoneticPr fontId="3"/>
  </si>
  <si>
    <t>ラインレシーバ</t>
    <phoneticPr fontId="3"/>
  </si>
  <si>
    <t>メーカ</t>
    <phoneticPr fontId="3"/>
  </si>
  <si>
    <t>スペアナ</t>
  </si>
  <si>
    <t>ラインレシーバ</t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</si>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</sst>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[$-F800]dddd\,\ mmmm\ dd\,\ yyyy"/>
  </numFmts>
  <fonts count="4">
    <font>
      <sz val="11"/>
      <color theme="1"/>
      <name val="Yu Gothic"/>
      <family val="2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B493-050A-4E8E-A089-ECE7943876EC}">
  <dimension ref="A1:E40"/>
  <sheetViews>
    <sheetView workbookViewId="0">
      <selection activeCell="E11" sqref="E11"/>
    </sheetView>
  </sheetViews>
  <sheetFormatPr defaultRowHeight="18"/>
  <cols>
    <col min="1" max="5" width="31.796875" customWidth="1"/>
  </cols>
  <sheetData>
    <row r="1" spans="1:5">
      <c r="A1" s="15" t="s">
        <v>12</v>
      </c>
      <c r="B1" s="5" t="s">
        <v>13</v>
      </c>
      <c r="C1" s="15" t="s">
        <v>14</v>
      </c>
      <c r="D1" s="5" t="s">
        <v>15</v>
      </c>
      <c r="E1" s="5" t="s">
        <v>16</v>
      </c>
    </row>
    <row r="2" spans="1:5">
      <c r="A2" s="15"/>
      <c r="B2" s="5" t="s">
        <v>17</v>
      </c>
      <c r="C2" s="15"/>
      <c r="D2" s="5" t="s">
        <v>18</v>
      </c>
      <c r="E2" s="5" t="s">
        <v>19</v>
      </c>
    </row>
    <row r="3" spans="1:5">
      <c r="A3" s="13" t="s">
        <v>20</v>
      </c>
      <c r="B3" s="23">
        <f>IFERROR(VLOOKUP($A3, master!$A:$H, 2, FALSE), "")</f>
        <v>11</v>
      </c>
      <c r="C3" s="24">
        <f>IFERROR(VLOOKUP($A3, master!$A:$H, 4, FALSE), "")</f>
        <v>1111111</v>
      </c>
      <c r="D3" s="23">
        <f>IFERROR(VLOOKUP($A3, master!$A:$H, 5, FALSE), "")</f>
        <v>1</v>
      </c>
      <c r="E3" s="25">
        <f>IFERROR(VLOOKUP($A3, master!$A:$H, 7, FALSE), "")</f>
        <v>46173</v>
      </c>
    </row>
    <row r="4" spans="1:5">
      <c r="A4" s="14"/>
      <c r="B4" s="23">
        <f>IFERROR(VLOOKUP($A3, master!$A:$H, 3, FALSE), "")</f>
        <v>12</v>
      </c>
      <c r="C4" s="24"/>
      <c r="D4" s="23" t="str">
        <f>IFERROR(VLOOKUP($A3, master!$A:$H, 6, FALSE), "")</f>
        <v>モビエレ</v>
      </c>
      <c r="E4" s="23" t="str">
        <f>IF(A3&lt;&gt;"", master!$H$5, "")</f>
        <v>2026年5月10日～2026年5月23日</v>
      </c>
    </row>
    <row r="5" spans="1:5">
      <c r="A5" s="13" t="s">
        <v>23</v>
      </c>
      <c r="B5" s="23">
        <f>IFERROR(VLOOKUP($A5, master!$A:$H, 2, FALSE), "")</f>
        <v>13</v>
      </c>
      <c r="C5" s="24">
        <f>IFERROR(VLOOKUP($A5, master!$A:$H, 4, FALSE), "")</f>
        <v>1111112</v>
      </c>
      <c r="D5" s="23">
        <f>IFERROR(VLOOKUP($A5, master!$A:$H, 5, FALSE), "")</f>
        <v>2</v>
      </c>
      <c r="E5" s="25">
        <f>IFERROR(VLOOKUP($A5, master!$A:$H, 7, FALSE), "")</f>
        <v>46174</v>
      </c>
    </row>
    <row r="6" spans="1:5">
      <c r="A6" s="14"/>
      <c r="B6" s="23">
        <f>IFERROR(VLOOKUP($A5, master!$A:$H, 3, FALSE), "")</f>
        <v>14</v>
      </c>
      <c r="C6" s="24"/>
      <c r="D6" s="23" t="str">
        <f>IFERROR(VLOOKUP($A5, master!$A:$H, 6, FALSE), "")</f>
        <v>モビエレ</v>
      </c>
      <c r="E6" s="23" t="str">
        <f>IF(A5&lt;&gt;"", master!$H$5, "")</f>
        <v>2026年5月10日～2026年5月23日</v>
      </c>
    </row>
    <row r="7" spans="1:5">
      <c r="A7" s="13" t="s">
        <v>24</v>
      </c>
      <c r="B7" s="23">
        <f>IFERROR(VLOOKUP($A7, master!$A:$H, 2, FALSE), "")</f>
        <v>15</v>
      </c>
      <c r="C7" s="24">
        <f>IFERROR(VLOOKUP($A7, master!$A:$H, 4, FALSE), "")</f>
        <v>1111113</v>
      </c>
      <c r="D7" s="23">
        <f>IFERROR(VLOOKUP($A7, master!$A:$H, 5, FALSE), "")</f>
        <v>3</v>
      </c>
      <c r="E7" s="25">
        <f>IFERROR(VLOOKUP($A7, master!$A:$H, 7, FALSE), "")</f>
        <v>46175</v>
      </c>
    </row>
    <row r="8" spans="1:5">
      <c r="A8" s="14"/>
      <c r="B8" s="23">
        <f>IFERROR(VLOOKUP($A7, master!$A:$H, 3, FALSE), "")</f>
        <v>16</v>
      </c>
      <c r="C8" s="24"/>
      <c r="D8" s="23" t="str">
        <f>IFERROR(VLOOKUP($A7, master!$A:$H, 6, FALSE), "")</f>
        <v>モビエレ</v>
      </c>
      <c r="E8" s="23" t="str">
        <f>IF(A7&lt;&gt;"", master!$H$5, "")</f>
        <v>2026年5月10日～2026年5月23日</v>
      </c>
    </row>
    <row r="9" spans="1:5">
      <c r="A9" s="13" t="s">
        <v>20</v>
      </c>
      <c r="B9" s="23">
        <f>IFERROR(VLOOKUP($A9, master!$A:$H, 2, FALSE), "")</f>
        <v>11</v>
      </c>
      <c r="C9" s="24">
        <f>IFERROR(VLOOKUP($A9, master!$A:$H, 4, FALSE), "")</f>
        <v>1111111</v>
      </c>
      <c r="D9" s="23">
        <f>IFERROR(VLOOKUP($A9, master!$A:$H, 5, FALSE), "")</f>
        <v>1</v>
      </c>
      <c r="E9" s="25">
        <f>IFERROR(VLOOKUP($A9, master!$A:$H, 7, FALSE), "")</f>
        <v>46173</v>
      </c>
    </row>
    <row r="10" spans="1:5">
      <c r="A10" s="14"/>
      <c r="B10" s="23">
        <f>IFERROR(VLOOKUP($A9, master!$A:$H, 3, FALSE), "")</f>
        <v>12</v>
      </c>
      <c r="C10" s="24"/>
      <c r="D10" s="23" t="str">
        <f>IFERROR(VLOOKUP($A9, master!$A:$H, 6, FALSE), "")</f>
        <v>モビエレ</v>
      </c>
      <c r="E10" s="23" t="str">
        <f>IF(A9&lt;&gt;"", master!$H$5, "")</f>
        <v>2026年5月10日～2026年5月23日</v>
      </c>
    </row>
    <row r="11" spans="1:5">
      <c r="A11" s="13" t="s">
        <v>23</v>
      </c>
      <c r="B11" s="23">
        <f>IFERROR(VLOOKUP($A11, master!$A:$H, 2, FALSE), "")</f>
        <v>13</v>
      </c>
      <c r="C11" s="24">
        <f>IFERROR(VLOOKUP($A11, master!$A:$H, 4, FALSE), "")</f>
        <v>1111112</v>
      </c>
      <c r="D11" s="23">
        <f>IFERROR(VLOOKUP($A11, master!$A:$H, 5, FALSE), "")</f>
        <v>2</v>
      </c>
      <c r="E11" s="25">
        <f>IFERROR(VLOOKUP($A11, master!$A:$H, 7, FALSE), "")</f>
        <v>46174</v>
      </c>
    </row>
    <row r="12" spans="1:5">
      <c r="A12" s="14"/>
      <c r="B12" s="23">
        <f>IFERROR(VLOOKUP($A11, master!$A:$H, 3, FALSE), "")</f>
        <v>14</v>
      </c>
      <c r="C12" s="24"/>
      <c r="D12" s="23" t="str">
        <f>IFERROR(VLOOKUP($A11, master!$A:$H, 6, FALSE), "")</f>
        <v>モビエレ</v>
      </c>
      <c r="E12" s="23" t="str">
        <f>IF(A11&lt;&gt;"", master!$H$5, "")</f>
        <v>2026年5月10日～2026年5月23日</v>
      </c>
    </row>
    <row r="13" spans="1:5">
      <c r="A13" s="13" t="s">
        <v>24</v>
      </c>
      <c r="B13" s="23">
        <f>IFERROR(VLOOKUP($A13, master!$A:$H, 2, FALSE), "")</f>
        <v>15</v>
      </c>
      <c r="C13" s="24">
        <f>IFERROR(VLOOKUP($A13, master!$A:$H, 4, FALSE), "")</f>
        <v>1111113</v>
      </c>
      <c r="D13" s="23">
        <f>IFERROR(VLOOKUP($A13, master!$A:$H, 5, FALSE), "")</f>
        <v>3</v>
      </c>
      <c r="E13" s="25">
        <f>IFERROR(VLOOKUP($A13, master!$A:$H, 7, FALSE), "")</f>
        <v>46175</v>
      </c>
    </row>
    <row r="14" spans="1:5">
      <c r="A14" s="14"/>
      <c r="B14" s="23">
        <f>IFERROR(VLOOKUP($A13, master!$A:$H, 3, FALSE), "")</f>
        <v>16</v>
      </c>
      <c r="C14" s="24"/>
      <c r="D14" s="23" t="str">
        <f>IFERROR(VLOOKUP($A13, master!$A:$H, 6, FALSE), "")</f>
        <v>モビエレ</v>
      </c>
      <c r="E14" s="23" t="str">
        <f>IF(A13&lt;&gt;"", master!$H$5, "")</f>
        <v>2026年5月10日～2026年5月23日</v>
      </c>
    </row>
    <row r="15" spans="1:5">
      <c r="A15" s="13" t="s">
        <v>20</v>
      </c>
      <c r="B15" s="23">
        <f>IFERROR(VLOOKUP($A15, master!$A:$H, 2, FALSE), "")</f>
        <v>11</v>
      </c>
      <c r="C15" s="24">
        <f>IFERROR(VLOOKUP($A15, master!$A:$H, 4, FALSE), "")</f>
        <v>1111111</v>
      </c>
      <c r="D15" s="23">
        <f>IFERROR(VLOOKUP($A15, master!$A:$H, 5, FALSE), "")</f>
        <v>1</v>
      </c>
      <c r="E15" s="25">
        <f>IFERROR(VLOOKUP($A15, master!$A:$H, 7, FALSE), "")</f>
        <v>46173</v>
      </c>
    </row>
    <row r="16" spans="1:5">
      <c r="A16" s="14"/>
      <c r="B16" s="23">
        <f>IFERROR(VLOOKUP($A15, master!$A:$H, 3, FALSE), "")</f>
        <v>12</v>
      </c>
      <c r="C16" s="24"/>
      <c r="D16" s="23" t="str">
        <f>IFERROR(VLOOKUP($A15, master!$A:$H, 6, FALSE), "")</f>
        <v>モビエレ</v>
      </c>
      <c r="E16" s="23" t="str">
        <f>IF(A15&lt;&gt;"", master!$H$5, "")</f>
        <v>2026年5月10日～2026年5月23日</v>
      </c>
    </row>
    <row r="17" spans="1:5">
      <c r="A17" s="13" t="s">
        <v>20</v>
      </c>
      <c r="B17" s="23">
        <f>IFERROR(VLOOKUP($A17, master!$A:$H, 2, FALSE), "")</f>
        <v>11</v>
      </c>
      <c r="C17" s="24">
        <f>IFERROR(VLOOKUP($A17, master!$A:$H, 4, FALSE), "")</f>
        <v>1111111</v>
      </c>
      <c r="D17" s="23">
        <f>IFERROR(VLOOKUP($A17, master!$A:$H, 5, FALSE), "")</f>
        <v>1</v>
      </c>
      <c r="E17" s="25">
        <f>IFERROR(VLOOKUP($A17, master!$A:$H, 7, FALSE), "")</f>
        <v>46173</v>
      </c>
    </row>
    <row r="18" spans="1:5">
      <c r="A18" s="14"/>
      <c r="B18" s="23">
        <f>IFERROR(VLOOKUP($A17, master!$A:$H, 3, FALSE), "")</f>
        <v>12</v>
      </c>
      <c r="C18" s="24"/>
      <c r="D18" s="23" t="str">
        <f>IFERROR(VLOOKUP($A17, master!$A:$H, 6, FALSE), "")</f>
        <v>モビエレ</v>
      </c>
      <c r="E18" s="23" t="str">
        <f>IF(A17&lt;&gt;"", master!$H$5, "")</f>
        <v>2026年5月10日～2026年5月23日</v>
      </c>
    </row>
    <row r="19" spans="1:5">
      <c r="A19" s="13" t="s">
        <v>20</v>
      </c>
      <c r="B19" s="23">
        <f>IFERROR(VLOOKUP($A19, master!$A:$H, 2, FALSE), "")</f>
        <v>11</v>
      </c>
      <c r="C19" s="24">
        <f>IFERROR(VLOOKUP($A19, master!$A:$H, 4, FALSE), "")</f>
        <v>1111111</v>
      </c>
      <c r="D19" s="23">
        <f>IFERROR(VLOOKUP($A19, master!$A:$H, 5, FALSE), "")</f>
        <v>1</v>
      </c>
      <c r="E19" s="25">
        <f>IFERROR(VLOOKUP($A19, master!$A:$H, 7, FALSE), "")</f>
        <v>46173</v>
      </c>
    </row>
    <row r="20" spans="1:5">
      <c r="A20" s="14"/>
      <c r="B20" s="23">
        <f>IFERROR(VLOOKUP($A19, master!$A:$H, 3, FALSE), "")</f>
        <v>12</v>
      </c>
      <c r="C20" s="24"/>
      <c r="D20" s="23" t="str">
        <f>IFERROR(VLOOKUP($A19, master!$A:$H, 6, FALSE), "")</f>
        <v>モビエレ</v>
      </c>
      <c r="E20" s="23" t="str">
        <f>IF(A19&lt;&gt;"", master!$H$5, "")</f>
        <v>2026年5月10日～2026年5月23日</v>
      </c>
    </row>
    <row r="21" spans="1:5">
      <c r="A21" s="13" t="s">
        <v>20</v>
      </c>
      <c r="B21" s="23">
        <f>IFERROR(VLOOKUP($A21, master!$A:$H, 2, FALSE), "")</f>
        <v>11</v>
      </c>
      <c r="C21" s="24">
        <f>IFERROR(VLOOKUP($A21, master!$A:$H, 4, FALSE), "")</f>
        <v>1111111</v>
      </c>
      <c r="D21" s="23">
        <f>IFERROR(VLOOKUP($A21, master!$A:$H, 5, FALSE), "")</f>
        <v>1</v>
      </c>
      <c r="E21" s="25">
        <f>IFERROR(VLOOKUP($A21, master!$A:$H, 7, FALSE), "")</f>
        <v>46173</v>
      </c>
    </row>
    <row r="22" spans="1:5">
      <c r="A22" s="14"/>
      <c r="B22" s="23">
        <f>IFERROR(VLOOKUP($A21, master!$A:$H, 3, FALSE), "")</f>
        <v>12</v>
      </c>
      <c r="C22" s="24"/>
      <c r="D22" s="23" t="str">
        <f>IFERROR(VLOOKUP($A21, master!$A:$H, 6, FALSE), "")</f>
        <v>モビエレ</v>
      </c>
      <c r="E22" s="23" t="str">
        <f>IF(A21&lt;&gt;"", master!$H$5, "")</f>
        <v>2026年5月10日～2026年5月23日</v>
      </c>
    </row>
    <row r="23" spans="1:5">
      <c r="A23" s="13"/>
      <c r="B23" s="23" t="str">
        <f>IFERROR(VLOOKUP($A23, master!$A:$H, 2, FALSE), "")</f>
        <v/>
      </c>
      <c r="C23" s="24" t="str">
        <f>IFERROR(VLOOKUP($A23, master!$A:$H, 4, FALSE), "")</f>
        <v/>
      </c>
      <c r="D23" s="23" t="str">
        <f>IFERROR(VLOOKUP($A23, master!$A:$H, 5, FALSE), "")</f>
        <v/>
      </c>
      <c r="E23" s="25" t="str">
        <f>IFERROR(VLOOKUP($A23, master!$A:$H, 7, FALSE), "")</f>
        <v/>
      </c>
    </row>
    <row r="24" spans="1:5">
      <c r="A24" s="14"/>
      <c r="B24" s="23" t="str">
        <f>IFERROR(VLOOKUP($A23, master!$A:$H, 3, FALSE), "")</f>
        <v/>
      </c>
      <c r="C24" s="24"/>
      <c r="D24" s="23" t="str">
        <f>IFERROR(VLOOKUP($A23, master!$A:$H, 6, FALSE), "")</f>
        <v/>
      </c>
      <c r="E24" s="23" t="str">
        <f>IFERROR(VLOOKUP($A23, master!$A:$H, 8, FALSE), "")</f>
        <v/>
      </c>
    </row>
    <row r="25" spans="1:5">
      <c r="A25" s="13"/>
      <c r="B25" s="4"/>
      <c r="C25" s="24" t="str">
        <f>IFERROR(VLOOKUP($A25, master!$A:$H, 4, FALSE), "")</f>
        <v/>
      </c>
      <c r="D25" s="4"/>
      <c r="E25" s="4"/>
    </row>
    <row r="26" spans="1:5">
      <c r="A26" s="14"/>
      <c r="B26" s="4"/>
      <c r="C26" s="24"/>
      <c r="D26" s="4"/>
      <c r="E26" s="4"/>
    </row>
    <row r="27" spans="1:5">
      <c r="A27" s="13"/>
      <c r="B27" s="4"/>
      <c r="C27" s="24" t="str">
        <f>IFERROR(VLOOKUP($A27, master!$A:$H, 4, FALSE), "")</f>
        <v/>
      </c>
      <c r="D27" s="4"/>
      <c r="E27" s="4"/>
    </row>
    <row r="28" spans="1:5">
      <c r="A28" s="14"/>
      <c r="B28" s="4"/>
      <c r="C28" s="24"/>
      <c r="D28" s="4"/>
      <c r="E28" s="4"/>
    </row>
    <row r="29" spans="1:5">
      <c r="A29" s="13"/>
      <c r="B29" s="4"/>
      <c r="C29" s="24" t="str">
        <f>IFERROR(VLOOKUP($A29, master!$A:$H, 4, FALSE), "")</f>
        <v/>
      </c>
      <c r="D29" s="4"/>
      <c r="E29" s="4"/>
    </row>
    <row r="30" spans="1:5">
      <c r="A30" s="14"/>
      <c r="B30" s="4"/>
      <c r="C30" s="24"/>
      <c r="D30" s="4"/>
      <c r="E30" s="4"/>
    </row>
    <row r="31" spans="1:5">
      <c r="A31" s="13"/>
      <c r="B31" s="4"/>
      <c r="C31" s="24" t="str">
        <f>IFERROR(VLOOKUP($A31, master!$A:$H, 4, FALSE), "")</f>
        <v/>
      </c>
      <c r="D31" s="4"/>
      <c r="E31" s="4"/>
    </row>
    <row r="32" spans="1:5">
      <c r="A32" s="14"/>
      <c r="B32" s="4"/>
      <c r="C32" s="24"/>
      <c r="D32" s="4"/>
      <c r="E32" s="4"/>
    </row>
    <row r="33" spans="1:5">
      <c r="A33" s="13"/>
      <c r="B33" s="4"/>
      <c r="C33" s="24" t="str">
        <f>IFERROR(VLOOKUP($A33, master!$A:$H, 4, FALSE), "")</f>
        <v/>
      </c>
      <c r="D33" s="4"/>
      <c r="E33" s="4"/>
    </row>
    <row r="34" spans="1:5">
      <c r="A34" s="14"/>
      <c r="B34" s="4"/>
      <c r="C34" s="24"/>
      <c r="D34" s="4"/>
      <c r="E34" s="4"/>
    </row>
    <row r="35" spans="1:5">
      <c r="A35" s="13"/>
      <c r="B35" s="4"/>
      <c r="C35" s="24" t="str">
        <f>IFERROR(VLOOKUP($A35, master!$A:$H, 4, FALSE), "")</f>
        <v/>
      </c>
      <c r="D35" s="4"/>
      <c r="E35" s="4"/>
    </row>
    <row r="36" spans="1:5">
      <c r="A36" s="14"/>
      <c r="B36" s="4"/>
      <c r="C36" s="24"/>
      <c r="D36" s="4"/>
      <c r="E36" s="4"/>
    </row>
    <row r="37" spans="1:5">
      <c r="A37" s="13"/>
      <c r="B37" s="4"/>
      <c r="C37" s="24" t="str">
        <f>IFERROR(VLOOKUP($A37, master!$A:$H, 4, FALSE), "")</f>
        <v/>
      </c>
      <c r="D37" s="4"/>
      <c r="E37" s="4"/>
    </row>
    <row r="38" spans="1:5">
      <c r="A38" s="14"/>
      <c r="B38" s="4"/>
      <c r="C38" s="24"/>
      <c r="D38" s="4"/>
      <c r="E38" s="4"/>
    </row>
    <row r="39" spans="1:5">
      <c r="A39" s="13"/>
      <c r="B39" s="4"/>
      <c r="C39" s="24" t="str">
        <f>IFERROR(VLOOKUP($A39, master!$A:$H, 4, FALSE), "")</f>
        <v/>
      </c>
      <c r="D39" s="4"/>
      <c r="E39" s="4"/>
    </row>
    <row r="40" spans="1:5">
      <c r="A40" s="14"/>
      <c r="B40" s="4"/>
      <c r="C40" s="24"/>
      <c r="D40" s="4"/>
      <c r="E40" s="4"/>
    </row>
  </sheetData>
  <mergeCells count="40">
    <mergeCell ref="A1:A2"/>
    <mergeCell ref="C1:C2"/>
    <mergeCell ref="A3:A4"/>
    <mergeCell ref="C3:C4"/>
    <mergeCell ref="A19:A20"/>
    <mergeCell ref="C19:C20"/>
    <mergeCell ref="A21:A22"/>
    <mergeCell ref="C21:C22"/>
    <mergeCell ref="A17:A18"/>
    <mergeCell ref="C17:C18"/>
    <mergeCell ref="A31:A32"/>
    <mergeCell ref="C31:C32"/>
    <mergeCell ref="A33:A34"/>
    <mergeCell ref="C33:C34"/>
    <mergeCell ref="A29:A30"/>
    <mergeCell ref="C29:C30"/>
    <mergeCell ref="A5:A6"/>
    <mergeCell ref="C5:C6"/>
    <mergeCell ref="A7:A8"/>
    <mergeCell ref="C7:C8"/>
    <mergeCell ref="A9:A10"/>
    <mergeCell ref="C9:C10"/>
    <mergeCell ref="A11:A12"/>
    <mergeCell ref="C11:C12"/>
    <mergeCell ref="A13:A14"/>
    <mergeCell ref="C13:C14"/>
    <mergeCell ref="A15:A16"/>
    <mergeCell ref="C15:C16"/>
    <mergeCell ref="A23:A24"/>
    <mergeCell ref="C23:C24"/>
    <mergeCell ref="A25:A26"/>
    <mergeCell ref="C25:C26"/>
    <mergeCell ref="A27:A28"/>
    <mergeCell ref="C27:C28"/>
    <mergeCell ref="A35:A36"/>
    <mergeCell ref="C35:C36"/>
    <mergeCell ref="A37:A38"/>
    <mergeCell ref="C37:C38"/>
    <mergeCell ref="A39:A40"/>
    <mergeCell ref="C39:C40"/>
  </mergeCells>
  <phoneticPr fontId="3"/>
  <pageMargins left="0.7" right="0.7" top="0.75" bottom="0.75" header="0.3" footer="0.3"/>
  <ignoredErrors>
    <ignoredError sqref="D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B21CD5-DF64-4E11-A481-6CBC37735D0D}">
          <x14:formula1>
            <xm:f>master!$A$2:$A$4</xm:f>
          </x14:formula1>
          <xm:sqref>A3:A22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2" workbookViewId="0">
      <selection activeCell="E25" sqref="E25"/>
    </sheetView>
  </sheetViews>
  <sheetFormatPr defaultRowHeight="18"/>
  <cols>
    <col min="1" max="5" width="25.8984375" customWidth="1"/>
    <col min="7" max="7" width="14.09765625" bestFit="1" customWidth="1"/>
    <col min="8" max="8" width="29.59765625" bestFit="1" customWidth="1"/>
  </cols>
  <sheetData>
    <row r="1" spans="1:8">
      <c r="A1" t="s">
        <v>12</v>
      </c>
      <c r="B1" t="s">
        <v>22</v>
      </c>
      <c r="C1" t="s">
        <v>17</v>
      </c>
      <c r="D1" t="s">
        <v>14</v>
      </c>
      <c r="E1" t="s">
        <v>15</v>
      </c>
      <c r="F1" t="s">
        <v>18</v>
      </c>
      <c r="G1" t="s">
        <v>16</v>
      </c>
      <c r="H1" t="s">
        <v>19</v>
      </c>
    </row>
    <row r="2" spans="1:8">
      <c r="A2" s="16" t="s">
        <v>20</v>
      </c>
      <c r="B2" s="2">
        <v>11</v>
      </c>
      <c r="C2" s="2">
        <v>12</v>
      </c>
      <c r="D2" s="18">
        <v>1111111</v>
      </c>
      <c r="E2" s="2">
        <v>1</v>
      </c>
      <c r="F2" s="2" t="s">
        <v>7</v>
      </c>
      <c r="G2" s="3">
        <v>46173</v>
      </c>
      <c r="H2" s="3" t="s">
        <v>8</v>
      </c>
    </row>
    <row r="3" spans="1:8">
      <c r="A3" s="17" t="s">
        <v>9</v>
      </c>
      <c r="B3" s="2">
        <v>13</v>
      </c>
      <c r="C3" s="2">
        <v>14</v>
      </c>
      <c r="D3" s="18">
        <v>1111112</v>
      </c>
      <c r="E3" s="2">
        <v>2</v>
      </c>
      <c r="F3" s="2" t="s">
        <v>7</v>
      </c>
      <c r="G3" s="3">
        <v>46174</v>
      </c>
      <c r="H3" s="3" t="s">
        <v>10</v>
      </c>
    </row>
    <row r="4" spans="1:8">
      <c r="A4" s="22" t="s">
        <v>21</v>
      </c>
      <c r="B4" s="2">
        <v>15</v>
      </c>
      <c r="C4" s="2">
        <v>16</v>
      </c>
      <c r="D4" s="18">
        <v>1111113</v>
      </c>
      <c r="E4" s="2">
        <v>3</v>
      </c>
      <c r="F4" s="2" t="s">
        <v>7</v>
      </c>
      <c r="G4" s="3">
        <v>46175</v>
      </c>
      <c r="H4" s="3" t="s">
        <v>11</v>
      </c>
    </row>
    <row r="5" spans="1:8">
      <c r="H5" s="3" t="s">
        <v>25</v>
      </c>
    </row>
    <row r="15" spans="1:8">
      <c r="A15" s="19"/>
      <c r="B15" s="19"/>
      <c r="C15" s="19"/>
    </row>
    <row r="16" spans="1:8">
      <c r="A16" s="20"/>
      <c r="B16" s="19"/>
      <c r="C16" s="19"/>
    </row>
    <row r="17" spans="1:5">
      <c r="A17" s="19"/>
      <c r="B17" s="19"/>
      <c r="C17" s="19"/>
    </row>
    <row r="18" spans="1:5">
      <c r="A18" s="21"/>
      <c r="B18" s="19"/>
      <c r="C18" s="19"/>
    </row>
    <row r="19" spans="1:5">
      <c r="A19" s="19"/>
      <c r="B19" s="19"/>
      <c r="C19" s="19"/>
    </row>
    <row r="21" spans="1:5">
      <c r="A21" s="9" t="s">
        <v>12</v>
      </c>
      <c r="B21" s="1" t="s">
        <v>0</v>
      </c>
      <c r="C21" s="10" t="s">
        <v>1</v>
      </c>
      <c r="D21" s="1" t="s">
        <v>2</v>
      </c>
      <c r="E21" s="1" t="s">
        <v>3</v>
      </c>
    </row>
    <row r="22" spans="1:5">
      <c r="A22" s="10"/>
      <c r="B22" s="1" t="s">
        <v>4</v>
      </c>
      <c r="C22" s="10"/>
      <c r="D22" s="1" t="s">
        <v>5</v>
      </c>
      <c r="E22" s="1" t="s">
        <v>6</v>
      </c>
    </row>
    <row r="23" spans="1:5">
      <c r="A23" s="6" t="s">
        <v>20</v>
      </c>
      <c r="B23" s="2">
        <v>11</v>
      </c>
      <c r="C23" s="8">
        <v>1111111</v>
      </c>
      <c r="D23" s="2">
        <v>1</v>
      </c>
      <c r="E23" s="3">
        <v>46173</v>
      </c>
    </row>
    <row r="24" spans="1:5">
      <c r="A24" s="7"/>
      <c r="B24" s="2">
        <v>12</v>
      </c>
      <c r="C24" s="8"/>
      <c r="D24" s="2" t="s">
        <v>7</v>
      </c>
      <c r="E24" s="3" t="s">
        <v>8</v>
      </c>
    </row>
    <row r="25" spans="1:5">
      <c r="A25" s="11" t="s">
        <v>9</v>
      </c>
      <c r="B25" s="2">
        <v>13</v>
      </c>
      <c r="C25" s="8">
        <v>1111112</v>
      </c>
      <c r="D25" s="2">
        <v>2</v>
      </c>
      <c r="E25" s="3">
        <v>46174</v>
      </c>
    </row>
    <row r="26" spans="1:5">
      <c r="A26" s="12"/>
      <c r="B26" s="2">
        <v>14</v>
      </c>
      <c r="C26" s="8"/>
      <c r="D26" s="2" t="s">
        <v>7</v>
      </c>
      <c r="E26" s="3" t="s">
        <v>10</v>
      </c>
    </row>
    <row r="27" spans="1:5">
      <c r="A27" s="6" t="s">
        <v>21</v>
      </c>
      <c r="B27" s="2">
        <v>15</v>
      </c>
      <c r="C27" s="8">
        <v>1111113</v>
      </c>
      <c r="D27" s="2">
        <v>3</v>
      </c>
      <c r="E27" s="3">
        <v>46175</v>
      </c>
    </row>
    <row r="28" spans="1:5">
      <c r="A28" s="7"/>
      <c r="B28" s="2">
        <v>16</v>
      </c>
      <c r="C28" s="8"/>
      <c r="D28" s="2" t="s">
        <v>7</v>
      </c>
      <c r="E28" s="3" t="s">
        <v>11</v>
      </c>
    </row>
  </sheetData>
  <mergeCells count="8">
    <mergeCell ref="A27:A28"/>
    <mergeCell ref="C27:C28"/>
    <mergeCell ref="A21:A22"/>
    <mergeCell ref="C21:C22"/>
    <mergeCell ref="A23:A24"/>
    <mergeCell ref="C23:C24"/>
    <mergeCell ref="A25:A26"/>
    <mergeCell ref="C25:C26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常設機器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2026-06-10T15:50:08Z</dcterms:modified>
</cp:coreProperties>
</file>