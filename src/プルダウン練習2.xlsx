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usia\ドキュメント\myroom\EMC試験\AQC\"/>
    </mc:Choice>
  </mc:AlternateContent>
  <xr:revisionPtr revIDLastSave="0" documentId="13_ncr:1_{14FD3D33-AAD9-47E3-A34C-2D3AA9F4194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常設機器" sheetId="2" r:id="rId1"/>
    <sheet name="master" sheetId="1" r:id="rId2"/>
    <sheet name="master2" sheetId="3" r:id="rId3"/>
    <sheet name="master3" sheetId="4" r:id="rId4"/>
    <sheet name="Sheet3" sheetId="5" r:id="rId5"/>
    <sheet name="master4" sheetId="6" r:id="rId6"/>
    <sheet name="報告書" sheetId="7" r:id="rId7"/>
    <sheet name="作業用" sheetId="8" r:id="rId8"/>
  </sheets>
  <definedNames>
    <definedName name="スライサー_測定名">#N/A</definedName>
    <definedName name="スライサー_部屋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9"/>
        <x14:slicerCache r:id="rId10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B2" i="8"/>
  <c r="A1" i="8" a="1"/>
  <c r="B14" i="8"/>
  <c r="B13" i="8"/>
  <c r="G14" i="8"/>
  <c r="F14" i="8"/>
  <c r="E14" i="8"/>
  <c r="D14" i="8"/>
  <c r="C14" i="8"/>
  <c r="G13" i="8"/>
  <c r="F13" i="8"/>
  <c r="E13" i="8"/>
  <c r="D13" i="8"/>
  <c r="C13" i="8"/>
  <c r="A12" i="8" a="1"/>
  <c r="E20" i="2"/>
  <c r="E18" i="2"/>
  <c r="E16" i="2"/>
  <c r="E14" i="2"/>
  <c r="E12" i="2"/>
  <c r="E10" i="2"/>
  <c r="E8" i="2"/>
  <c r="E6" i="2"/>
  <c r="E4" i="2"/>
  <c r="E24" i="2"/>
  <c r="D24" i="2"/>
  <c r="B24" i="2"/>
  <c r="E23" i="2"/>
  <c r="D23" i="2"/>
  <c r="C23" i="2"/>
  <c r="B23" i="2"/>
  <c r="D22" i="2"/>
  <c r="B22" i="2"/>
  <c r="E21" i="2"/>
  <c r="D21" i="2"/>
  <c r="C21" i="2"/>
  <c r="B21" i="2"/>
  <c r="D20" i="2"/>
  <c r="B20" i="2"/>
  <c r="E19" i="2"/>
  <c r="D19" i="2"/>
  <c r="C19" i="2"/>
  <c r="B19" i="2"/>
  <c r="D18" i="2"/>
  <c r="B18" i="2"/>
  <c r="E17" i="2"/>
  <c r="D17" i="2"/>
  <c r="C17" i="2"/>
  <c r="B17" i="2"/>
  <c r="D16" i="2"/>
  <c r="B16" i="2"/>
  <c r="E15" i="2"/>
  <c r="D15" i="2"/>
  <c r="C15" i="2"/>
  <c r="B15" i="2"/>
  <c r="D14" i="2"/>
  <c r="B14" i="2"/>
  <c r="E13" i="2"/>
  <c r="D13" i="2"/>
  <c r="C13" i="2"/>
  <c r="B13" i="2"/>
  <c r="D12" i="2"/>
  <c r="B12" i="2"/>
  <c r="E11" i="2"/>
  <c r="D11" i="2"/>
  <c r="C11" i="2"/>
  <c r="B11" i="2"/>
  <c r="D10" i="2"/>
  <c r="B10" i="2"/>
  <c r="E9" i="2"/>
  <c r="D9" i="2"/>
  <c r="C9" i="2"/>
  <c r="B9" i="2"/>
  <c r="D8" i="2"/>
  <c r="B8" i="2"/>
  <c r="E7" i="2"/>
  <c r="D7" i="2"/>
  <c r="C7" i="2"/>
  <c r="B7" i="2"/>
  <c r="D6" i="2"/>
  <c r="B6" i="2"/>
  <c r="E5" i="2"/>
  <c r="D5" i="2"/>
  <c r="C5" i="2"/>
  <c r="B5" i="2"/>
  <c r="C27" i="2"/>
  <c r="C29" i="2"/>
  <c r="C31" i="2"/>
  <c r="C33" i="2"/>
  <c r="C35" i="2"/>
  <c r="C37" i="2"/>
  <c r="C39" i="2"/>
  <c r="B4" i="2"/>
  <c r="E3" i="2"/>
  <c r="D4" i="2"/>
  <c r="D3" i="2"/>
  <c r="C3" i="2"/>
  <c r="B3" i="2"/>
  <c r="B1" i="8" l="1"/>
  <c r="C3" i="8"/>
  <c r="D3" i="8"/>
  <c r="E3" i="8"/>
  <c r="F3" i="8"/>
  <c r="G2" i="8"/>
  <c r="D2" i="8"/>
  <c r="B3" i="8"/>
  <c r="G3" i="8"/>
  <c r="F2" i="8"/>
  <c r="E2" i="8"/>
  <c r="C2" i="8"/>
  <c r="A43" i="2" a="1"/>
  <c r="C25" i="2"/>
  <c r="A5" i="7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<sst xmlns="http://schemas.openxmlformats.org/spreadsheetml/2006/main" count="240" uniqueCount="73">
  <si>
    <r>
      <rPr>
        <sz val="11"/>
        <color theme="1"/>
        <rFont val="Yu Gothic"/>
        <family val="2"/>
      </rPr>
      <t>メーカー</t>
    </r>
    <phoneticPr fontId="3"/>
  </si>
  <si>
    <r>
      <rPr>
        <sz val="11"/>
        <color theme="1"/>
        <rFont val="Yu Gothic"/>
        <family val="2"/>
      </rPr>
      <t>全社連番</t>
    </r>
    <rPh sb="0" eb="4">
      <t>ゼンシャレンバン</t>
    </rPh>
    <phoneticPr fontId="3"/>
  </si>
  <si>
    <r>
      <rPr>
        <sz val="11"/>
        <color theme="1"/>
        <rFont val="Yu Gothic"/>
        <family val="2"/>
      </rPr>
      <t>管理</t>
    </r>
    <r>
      <rPr>
        <sz val="11"/>
        <color theme="1"/>
        <rFont val="Arial"/>
        <family val="2"/>
      </rPr>
      <t>No.</t>
    </r>
    <rPh sb="0" eb="2">
      <t>カンリ</t>
    </rPh>
    <phoneticPr fontId="3"/>
  </si>
  <si>
    <r>
      <rPr>
        <sz val="11"/>
        <color theme="1"/>
        <rFont val="Yu Gothic"/>
        <family val="2"/>
      </rPr>
      <t>有効期限</t>
    </r>
    <rPh sb="0" eb="4">
      <t>ユウコウキゲン</t>
    </rPh>
    <phoneticPr fontId="3"/>
  </si>
  <si>
    <r>
      <rPr>
        <sz val="11"/>
        <color theme="1"/>
        <rFont val="Yu Gothic"/>
        <family val="2"/>
      </rPr>
      <t>型式</t>
    </r>
    <rPh sb="0" eb="2">
      <t>カタシキ</t>
    </rPh>
    <phoneticPr fontId="3"/>
  </si>
  <si>
    <r>
      <rPr>
        <sz val="11"/>
        <color theme="1"/>
        <rFont val="Yu Gothic"/>
        <family val="2"/>
      </rPr>
      <t>管理部署</t>
    </r>
    <rPh sb="0" eb="4">
      <t>カンリブショ</t>
    </rPh>
    <phoneticPr fontId="3"/>
  </si>
  <si>
    <r>
      <rPr>
        <sz val="11"/>
        <color theme="1"/>
        <rFont val="Yu Gothic"/>
        <family val="2"/>
      </rPr>
      <t>使用期間</t>
    </r>
    <rPh sb="0" eb="4">
      <t>シヨウキカン</t>
    </rPh>
    <phoneticPr fontId="3"/>
  </si>
  <si>
    <r>
      <rPr>
        <sz val="11"/>
        <color theme="1"/>
        <rFont val="Yu Gothic"/>
        <family val="2"/>
      </rPr>
      <t>モビエレ</t>
    </r>
    <phoneticPr fontId="3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</si>
  <si>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20</t>
    </r>
    <r>
      <rPr>
        <sz val="11"/>
        <color theme="1"/>
        <rFont val="Yu Gothic"/>
        <family val="2"/>
      </rPr>
      <t>日</t>
    </r>
    <rPh sb="4" eb="5">
      <t>ネン</t>
    </rPh>
    <rPh sb="6" eb="7">
      <t>ガツ</t>
    </rPh>
    <rPh sb="9" eb="10">
      <t>ニチ</t>
    </rPh>
    <phoneticPr fontId="3"/>
  </si>
  <si>
    <r>
      <rPr>
        <sz val="11"/>
        <color theme="1"/>
        <rFont val="Yu Gothic"/>
        <family val="2"/>
      </rPr>
      <t>スペアナ</t>
    </r>
    <phoneticPr fontId="3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</si>
  <si>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21日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3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</si>
  <si>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22日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3"/>
  </si>
  <si>
    <t>名称</t>
    <rPh sb="0" eb="2">
      <t>メイショウ</t>
    </rPh>
    <phoneticPr fontId="3"/>
  </si>
  <si>
    <t>メーカー</t>
    <phoneticPr fontId="3"/>
  </si>
  <si>
    <t>全社連番</t>
    <rPh sb="0" eb="4">
      <t>ゼンシャレンバン</t>
    </rPh>
    <phoneticPr fontId="3"/>
  </si>
  <si>
    <t>管理No.</t>
    <rPh sb="0" eb="2">
      <t>カンリ</t>
    </rPh>
    <phoneticPr fontId="3"/>
  </si>
  <si>
    <t>有効期限</t>
    <rPh sb="0" eb="4">
      <t>ユウコウキゲン</t>
    </rPh>
    <phoneticPr fontId="3"/>
  </si>
  <si>
    <t>型式</t>
    <rPh sb="0" eb="2">
      <t>カタシキ</t>
    </rPh>
    <phoneticPr fontId="3"/>
  </si>
  <si>
    <t>管理部署</t>
    <rPh sb="0" eb="4">
      <t>カンリブショ</t>
    </rPh>
    <phoneticPr fontId="3"/>
  </si>
  <si>
    <t>使用期間</t>
    <rPh sb="0" eb="4">
      <t>シヨウキカン</t>
    </rPh>
    <phoneticPr fontId="3"/>
  </si>
  <si>
    <t>部屋</t>
    <rPh sb="0" eb="2">
      <t>ヘヤ</t>
    </rPh>
    <phoneticPr fontId="3"/>
  </si>
  <si>
    <t>ラインレシーバ</t>
    <phoneticPr fontId="3"/>
  </si>
  <si>
    <t>メーカ</t>
    <phoneticPr fontId="3"/>
  </si>
  <si>
    <t>スペアナ</t>
  </si>
  <si>
    <t>ラインレシーバ</t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</si>
  <si>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23日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3"/>
  </si>
  <si>
    <t>仕様部屋</t>
    <rPh sb="0" eb="4">
      <t>シヨウヘヤ</t>
    </rPh>
    <phoneticPr fontId="3"/>
  </si>
  <si>
    <t>測定名</t>
    <rPh sb="0" eb="3">
      <t>ソクテイメイ</t>
    </rPh>
    <phoneticPr fontId="3"/>
  </si>
  <si>
    <t>電波暗室1</t>
    <rPh sb="0" eb="4">
      <t>デンパアンシツ</t>
    </rPh>
    <phoneticPr fontId="3"/>
  </si>
  <si>
    <t>ラジオノイズ試験伝導</t>
    <rPh sb="6" eb="8">
      <t>シケン</t>
    </rPh>
    <rPh sb="8" eb="10">
      <t>デンドウ</t>
    </rPh>
    <phoneticPr fontId="3"/>
  </si>
  <si>
    <t>電波暗室2</t>
    <rPh sb="0" eb="4">
      <t>デンパアンシツ</t>
    </rPh>
    <phoneticPr fontId="3"/>
  </si>
  <si>
    <t>ラジオノイズ試験輻射</t>
    <rPh sb="6" eb="8">
      <t>シケン</t>
    </rPh>
    <rPh sb="8" eb="10">
      <t>フクシャ</t>
    </rPh>
    <phoneticPr fontId="3"/>
  </si>
  <si>
    <t>電波暗室3</t>
    <rPh sb="0" eb="4">
      <t>デンパアンシツ</t>
    </rPh>
    <phoneticPr fontId="3"/>
  </si>
  <si>
    <t>電波暗室4</t>
    <rPh sb="0" eb="4">
      <t>デンパアンシツ</t>
    </rPh>
    <phoneticPr fontId="3"/>
  </si>
  <si>
    <t>電波暗室5</t>
    <rPh sb="0" eb="4">
      <t>デンパアンシツ</t>
    </rPh>
    <phoneticPr fontId="3"/>
  </si>
  <si>
    <t>電波暗室6</t>
    <rPh sb="0" eb="4">
      <t>デンパアンシツ</t>
    </rPh>
    <phoneticPr fontId="3"/>
  </si>
  <si>
    <t>電波暗室7</t>
    <rPh sb="0" eb="4">
      <t>デンパアンシツ</t>
    </rPh>
    <phoneticPr fontId="3"/>
  </si>
  <si>
    <t>電波暗室8</t>
    <rPh sb="0" eb="4">
      <t>デンパアンシツ</t>
    </rPh>
    <phoneticPr fontId="3"/>
  </si>
  <si>
    <t>電波暗室9</t>
    <rPh sb="0" eb="4">
      <t>デンパアンシツ</t>
    </rPh>
    <phoneticPr fontId="3"/>
  </si>
  <si>
    <t>電波暗室10</t>
    <rPh sb="0" eb="4">
      <t>デンパアンシツ</t>
    </rPh>
    <phoneticPr fontId="3"/>
  </si>
  <si>
    <t>SR1</t>
    <phoneticPr fontId="3"/>
  </si>
  <si>
    <t>SR2</t>
  </si>
  <si>
    <t>SR3</t>
  </si>
  <si>
    <t>SR4</t>
  </si>
  <si>
    <t>SR5</t>
  </si>
  <si>
    <t>SR6</t>
  </si>
  <si>
    <t>SR7</t>
  </si>
  <si>
    <t>SR8</t>
  </si>
  <si>
    <t>SR9</t>
  </si>
  <si>
    <t>SR10</t>
  </si>
  <si>
    <t>電波暗室11</t>
    <rPh sb="0" eb="4">
      <t>デンパアンシツ</t>
    </rPh>
    <phoneticPr fontId="3"/>
  </si>
  <si>
    <t>列1</t>
  </si>
  <si>
    <t>列2</t>
  </si>
  <si>
    <t>メーカ</t>
  </si>
  <si>
    <t>モビエレ</t>
  </si>
  <si>
    <t>名称</t>
  </si>
  <si>
    <t>型式</t>
  </si>
  <si>
    <t>全社連番</t>
  </si>
  <si>
    <t>管理No.</t>
  </si>
  <si>
    <t>管理部署</t>
  </si>
  <si>
    <t>有効期限</t>
  </si>
  <si>
    <t>部屋</t>
  </si>
  <si>
    <r>
      <rPr>
        <sz val="11"/>
        <color theme="1"/>
        <rFont val="Yu Gothic"/>
        <family val="2"/>
      </rPr>
      <t>名称</t>
    </r>
    <rPh sb="0" eb="2">
      <t>メイショウ</t>
    </rPh>
    <phoneticPr fontId="3"/>
  </si>
  <si>
    <r>
      <rPr>
        <sz val="11"/>
        <color theme="1"/>
        <rFont val="Yu Gothic"/>
        <family val="2"/>
      </rPr>
      <t>スペアナ</t>
    </r>
  </si>
  <si>
    <r>
      <rPr>
        <sz val="11"/>
        <color theme="1"/>
        <rFont val="Yu Gothic"/>
        <family val="2"/>
      </rPr>
      <t>ラインレシーバ</t>
    </r>
  </si>
  <si>
    <r>
      <rPr>
        <sz val="11"/>
        <color theme="1"/>
        <rFont val="Yu Gothic"/>
        <family val="2"/>
      </rPr>
      <t>モビエレ</t>
    </r>
  </si>
  <si>
    <t>測定名</t>
  </si>
  <si>
    <r>
      <rPr>
        <sz val="11"/>
        <color theme="1"/>
        <rFont val="ＭＳ ゴシック"/>
        <family val="3"/>
        <charset val="128"/>
      </rPr>
      <t>部屋</t>
    </r>
    <r>
      <rPr>
        <sz val="11"/>
        <color theme="1"/>
        <rFont val="Arial"/>
        <family val="2"/>
      </rPr>
      <t>1</t>
    </r>
    <rPh sb="0" eb="2">
      <t>ヘヤ</t>
    </rPh>
    <phoneticPr fontId="3"/>
  </si>
  <si>
    <r>
      <rPr>
        <sz val="11"/>
        <color theme="1"/>
        <rFont val="ＭＳ Ｐゴシック"/>
        <family val="2"/>
        <charset val="128"/>
      </rPr>
      <t>部屋</t>
    </r>
    <r>
      <rPr>
        <sz val="11"/>
        <color theme="1"/>
        <rFont val="Arial"/>
        <family val="2"/>
      </rPr>
      <t>1</t>
    </r>
    <rPh sb="0" eb="2">
      <t>ヘヤ</t>
    </rPh>
    <phoneticPr fontId="3"/>
  </si>
  <si>
    <r>
      <rPr>
        <sz val="11"/>
        <color theme="1"/>
        <rFont val="Yu Gothic"/>
        <family val="2"/>
      </rPr>
      <t>スペアナ</t>
    </r>
    <r>
      <rPr>
        <sz val="11"/>
        <color theme="1"/>
        <rFont val="ＭＳ Ｐゴシック"/>
        <family val="2"/>
        <charset val="128"/>
      </rPr>
      <t>　輻射</t>
    </r>
    <rPh sb="5" eb="7">
      <t>フクシャ</t>
    </rPh>
    <phoneticPr fontId="3"/>
  </si>
  <si>
    <r>
      <rPr>
        <sz val="11"/>
        <color theme="1"/>
        <rFont val="Yu Gothic"/>
        <family val="2"/>
      </rPr>
      <t>ラインレシーバ</t>
    </r>
    <r>
      <rPr>
        <sz val="11"/>
        <color theme="1"/>
        <rFont val="ＭＳ Ｐゴシック"/>
        <family val="2"/>
        <charset val="128"/>
      </rPr>
      <t>輻射</t>
    </r>
    <rPh sb="7" eb="9">
      <t>フクシャ</t>
    </rPh>
    <phoneticPr fontId="3"/>
  </si>
  <si>
    <t>部屋2</t>
    <rPh sb="0" eb="2">
      <t>ヘヤ</t>
    </rPh>
    <phoneticPr fontId="3"/>
  </si>
  <si>
    <t>試験名</t>
    <rPh sb="0" eb="3">
      <t>シケンメイ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</si>
</sst>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800]dddd\,\ mmmm\ dd\,\ yyyy"/>
    <numFmt numFmtId="180" formatCode="yyyy/mm/dd"/>
  </numFmts>
  <fonts count="9">
    <font>
      <sz val="11"/>
      <color theme="1"/>
      <name val="Yu Gothic"/>
      <family val="2"/>
      <scheme val="minor"/>
    </font>
    <font>
      <sz val="11"/>
      <color theme="1"/>
      <name val="Arial"/>
      <family val="2"/>
    </font>
    <font>
      <sz val="11"/>
      <color theme="1"/>
      <name val="Yu Gothic"/>
      <family val="2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11"/>
      <color theme="1"/>
      <name val="Arial"/>
      <family val="3"/>
      <charset val="128"/>
    </font>
    <font>
      <sz val="11"/>
      <color theme="1"/>
      <name val="Arial"/>
      <family val="2"/>
      <charset val="128"/>
    </font>
    <font>
      <sz val="11"/>
      <color theme="1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1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4" fillId="0" borderId="9" xfId="0" applyFont="1" applyFill="1" applyBorder="1"/>
    <xf numFmtId="0" fontId="0" fillId="0" borderId="4" xfId="0" applyFill="1" applyBorder="1"/>
    <xf numFmtId="0" fontId="0" fillId="0" borderId="10" xfId="0" applyBorder="1"/>
    <xf numFmtId="0" fontId="0" fillId="0" borderId="5" xfId="0" applyFill="1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2" fillId="0" borderId="12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31" fontId="1" fillId="0" borderId="10" xfId="0" applyNumberFormat="1" applyFont="1" applyBorder="1" applyAlignment="1">
      <alignment horizontal="center" vertical="center"/>
    </xf>
    <xf numFmtId="31" fontId="1" fillId="0" borderId="6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31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176" fontId="1" fillId="0" borderId="0" xfId="0" applyNumberFormat="1" applyFont="1" applyFill="1" applyBorder="1" applyAlignment="1">
      <alignment horizontal="center"/>
    </xf>
    <xf numFmtId="0" fontId="0" fillId="0" borderId="1" xfId="0" applyFont="1" applyBorder="1"/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80" fontId="0" fillId="0" borderId="0" xfId="0" applyNumberFormat="1"/>
  </cellXfs>
  <cellStyles count="1">
    <cellStyle name="標準" xfId="0" builtinId="0"/>
  </cellStyles>
  <dxfs count="35"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41" formatCode="yyyy&quot;年&quot;m&quot;月&quot;d&quot;日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41" formatCode="yyyy&quot;年&quot;m&quot;月&quot;d&quot;日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Yu Gothic"/>
        <family val="3"/>
        <charset val="128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Yu Gothic"/>
        <family val="3"/>
        <charset val="128"/>
        <scheme val="minor"/>
      </font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670560</xdr:colOff>
      <xdr:row>7</xdr:row>
      <xdr:rowOff>198120</xdr:rowOff>
    </xdr:from>
    <xdr:to>
      <xdr:col>0</xdr:col>
      <xdr:colOff>670560</xdr:colOff>
      <xdr:row>19</xdr:row>
      <xdr:rowOff>36195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4" name="部屋">
              <a:extLst>
                <a:ext uri="{FF2B5EF4-FFF2-40B4-BE49-F238E27FC236}">
                  <a16:creationId xmlns:a16="http://schemas.microsoft.com/office/drawing/2014/main" id="{E4D510E1-31DE-B037-1BDD-CE1EA05949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部屋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0560" y="1798320"/>
              <a:ext cx="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670560</xdr:colOff>
      <xdr:row>6</xdr:row>
      <xdr:rowOff>137160</xdr:rowOff>
    </xdr:from>
    <xdr:to>
      <xdr:col>0</xdr:col>
      <xdr:colOff>670560</xdr:colOff>
      <xdr:row>17</xdr:row>
      <xdr:rowOff>203835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5" name="測定名">
              <a:extLst>
                <a:ext uri="{FF2B5EF4-FFF2-40B4-BE49-F238E27FC236}">
                  <a16:creationId xmlns:a16="http://schemas.microsoft.com/office/drawing/2014/main" id="{E26637E4-F593-169F-BBA5-FE63AD1537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測定名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0560" y="1508760"/>
              <a:ext cx="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182880</xdr:colOff>
      <xdr:row>6</xdr:row>
      <xdr:rowOff>99060</xdr:rowOff>
    </xdr:from>
    <xdr:to>
      <xdr:col>5</xdr:col>
      <xdr:colOff>1181100</xdr:colOff>
      <xdr:row>17</xdr:row>
      <xdr:rowOff>165735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6" name="部屋 1">
              <a:extLst>
                <a:ext uri="{FF2B5EF4-FFF2-40B4-BE49-F238E27FC236}">
                  <a16:creationId xmlns:a16="http://schemas.microsoft.com/office/drawing/2014/main" id="{7DCF9A93-A7FA-BA68-9F02-DEF2D841EE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部屋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57900" y="147066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  <xdr:twoCellAnchor editAs="absolute">
    <xdr:from>
      <xdr:col>6</xdr:col>
      <xdr:colOff>502920</xdr:colOff>
      <xdr:row>6</xdr:row>
      <xdr:rowOff>198120</xdr:rowOff>
    </xdr:from>
    <xdr:to>
      <xdr:col>7</xdr:col>
      <xdr:colOff>7620</xdr:colOff>
      <xdr:row>18</xdr:row>
      <xdr:rowOff>36195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7" name="測定名 1">
              <a:extLst>
                <a:ext uri="{FF2B5EF4-FFF2-40B4-BE49-F238E27FC236}">
                  <a16:creationId xmlns:a16="http://schemas.microsoft.com/office/drawing/2014/main" id="{083BDE77-A86B-5123-AA3F-9BB0EE1882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測定名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63000" y="156972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部屋" xr10:uid="{140C28F3-448D-4013-A985-393E9670D1BE}" sourceName="部屋">
  <extLst>
    <x:ext xmlns:x15="http://schemas.microsoft.com/office/spreadsheetml/2010/11/main" uri="{2F2917AC-EB37-4324-AD4E-5DD8C200BD13}">
      <x15:tableSlicerCache tableId="11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測定名" xr10:uid="{CC7A1D2B-E902-49FC-A2D2-44639D46B716}" sourceName="測定名">
  <extLst>
    <x:ext xmlns:x15="http://schemas.microsoft.com/office/spreadsheetml/2010/11/main" uri="{2F2917AC-EB37-4324-AD4E-5DD8C200BD13}">
      <x15:tableSlicerCache tableId="11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部屋" xr10:uid="{D576A20E-8956-4C3E-84E4-5AC8DD140922}" cache="スライサー_部屋" caption="部屋" rowHeight="247650"/>
  <slicer name="部屋 1" xr10:uid="{9299D0AC-C648-40B9-B2AF-D802884CAF84}" cache="スライサー_部屋" caption="部屋" rowHeight="247650"/>
  <slicer name="測定名" xr10:uid="{D54E5DDE-E5F2-4E1D-A4FF-39C75E0585CE}" cache="スライサー_測定名" caption="測定名" rowHeight="247650"/>
  <slicer name="測定名 1" xr10:uid="{A834BE4A-7918-4A1D-8879-8C2EF10EABC9}" cache="スライサー_測定名" caption="測定名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557FF64-932E-46AE-94C9-D4B454CBA173}" name="T_test" displayName="T_test" ref="A1:G4" totalsRowShown="0" headerRowDxfId="10" dataDxfId="11" headerRowBorderDxfId="19" tableBorderDxfId="20" totalsRowBorderDxfId="18">
  <autoFilter ref="A1:G4" xr:uid="{4557FF64-932E-46AE-94C9-D4B454CBA173}"/>
  <tableColumns count="7">
    <tableColumn id="1" xr3:uid="{148684E9-9944-42CD-AC3B-F29D5CC58D0D}" name="名称"/>
    <tableColumn id="2" xr3:uid="{64E2E145-4E55-4E3B-B819-5032398FEAAA}" name="メーカ" dataDxfId="17"/>
    <tableColumn id="3" xr3:uid="{0E103A10-72B9-4718-AD10-5888512FDF9B}" name="型式" dataDxfId="16"/>
    <tableColumn id="4" xr3:uid="{00A4BD70-4A79-4CBE-8BC0-74B58B8F0BCE}" name="全社連番" dataDxfId="15"/>
    <tableColumn id="5" xr3:uid="{EA996F55-CB80-4BB9-89C3-637F0B9E178B}" name="管理No." dataDxfId="14"/>
    <tableColumn id="6" xr3:uid="{7C441908-471B-4BE9-8E15-593B11CE7E76}" name="管理部署" dataDxfId="13"/>
    <tableColumn id="7" xr3:uid="{F54AC6FC-CABE-45E3-B11D-6D4BE2D9BBC0}" name="有効期限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868DCF-D1C9-4750-B7A5-BEB7EAE1E89E}" name="T_env" displayName="T_env" ref="A1:A22" totalsRowShown="0" headerRowDxfId="28" headerRowBorderDxfId="33" tableBorderDxfId="34" totalsRowBorderDxfId="32">
  <autoFilter ref="A1:A22" xr:uid="{3D868DCF-D1C9-4750-B7A5-BEB7EAE1E89E}">
    <filterColumn colId="0">
      <filters>
        <filter val="SR1"/>
        <filter val="SR10"/>
        <filter val="SR2"/>
        <filter val="SR3"/>
        <filter val="SR4"/>
        <filter val="SR6"/>
        <filter val="SR8"/>
        <filter val="SR9"/>
        <filter val="電波暗室1"/>
        <filter val="電波暗室10"/>
        <filter val="電波暗室11"/>
        <filter val="電波暗室2"/>
        <filter val="電波暗室3"/>
        <filter val="電波暗室4"/>
        <filter val="電波暗室5"/>
        <filter val="電波暗室6"/>
        <filter val="電波暗室8"/>
        <filter val="電波暗室9"/>
      </filters>
    </filterColumn>
  </autoFilter>
  <sortState xmlns:xlrd2="http://schemas.microsoft.com/office/spreadsheetml/2017/richdata2" ref="A2:A21">
    <sortCondition ref="A1:A21"/>
  </sortState>
  <tableColumns count="1">
    <tableColumn id="1" xr3:uid="{D84A5A50-6602-4710-9C28-A559E67ABE0D}" name="仕様部屋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17FE5B-BF96-4B7A-B031-9A5C454C096E}" name="T_measure" displayName="T_measure" ref="B1:B3" totalsRowShown="0" headerRowDxfId="27" headerRowBorderDxfId="30" tableBorderDxfId="31" totalsRowBorderDxfId="29">
  <autoFilter ref="B1:B3" xr:uid="{8417FE5B-BF96-4B7A-B031-9A5C454C096E}"/>
  <tableColumns count="1">
    <tableColumn id="1" xr3:uid="{5E3D345A-35E6-429B-B7A7-5960A1A5406A}" name="測定名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C51EA00-EFC1-48FC-B0F1-E333F870049D}" name="T_envmeasure" displayName="T_envmeasure" ref="A1:B22" totalsRowShown="0" headerRowDxfId="21" headerRowBorderDxfId="25" tableBorderDxfId="26" totalsRowBorderDxfId="24">
  <autoFilter ref="A1:B22" xr:uid="{7C51EA00-EFC1-48FC-B0F1-E333F870049D}"/>
  <tableColumns count="2">
    <tableColumn id="1" xr3:uid="{81C6CDFF-8E32-4BF7-BD79-4C425A59796B}" name="列1" dataDxfId="23"/>
    <tableColumn id="2" xr3:uid="{E7C1C951-CA92-4440-BDF8-1951987954AE}" name="列2" dataDxfId="2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5F6D23F-4212-44F7-A2CA-9D218B6A07D5}" name="テーブル11" displayName="テーブル11" ref="A1:I13" totalsRowShown="0" headerRowDxfId="1" dataDxfId="2">
  <autoFilter ref="A1:I13" xr:uid="{85F6D23F-4212-44F7-A2CA-9D218B6A07D5}"/>
  <tableColumns count="9">
    <tableColumn id="1" xr3:uid="{D2D73CA7-E0B3-4A8E-92AD-1E24EBD064D0}" name="部屋"/>
    <tableColumn id="2" xr3:uid="{8F0BF7BB-FAF6-43CA-983D-24CEF815560E}" name="測定名" dataDxfId="9"/>
    <tableColumn id="3" xr3:uid="{C2EB6A84-1EEF-4840-9E8E-7E47265C2046}" name="名称"/>
    <tableColumn id="4" xr3:uid="{346E9F05-E941-48A0-AA84-24CA982DEB54}" name="メーカ" dataDxfId="8"/>
    <tableColumn id="5" xr3:uid="{5DE9B345-3051-4D38-A65E-81440F2F8F3C}" name="型式" dataDxfId="7"/>
    <tableColumn id="6" xr3:uid="{99FBF264-9986-42F6-8215-2536A08595F5}" name="全社連番" dataDxfId="6"/>
    <tableColumn id="7" xr3:uid="{B053D5F5-ED6B-4011-9DC6-40F35097BBF3}" name="管理No." dataDxfId="5"/>
    <tableColumn id="8" xr3:uid="{AE43210F-51F5-499F-B5D1-6EB862BD04DD}" name="管理部署" dataDxfId="4"/>
    <tableColumn id="9" xr3:uid="{7C504EB6-C74D-42ED-83B4-16B401418654}" name="有効期限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EB493-050A-4E8E-A089-ECE7943876EC}">
  <dimension ref="A1:E45"/>
  <sheetViews>
    <sheetView workbookViewId="0">
      <selection activeCell="B3" sqref="B3"/>
    </sheetView>
  </sheetViews>
  <sheetFormatPr defaultRowHeight="18"/>
  <cols>
    <col min="1" max="5" width="31.796875" customWidth="1"/>
  </cols>
  <sheetData>
    <row r="1" spans="1:5">
      <c r="A1" s="20" t="s">
        <v>12</v>
      </c>
      <c r="B1" s="5" t="s">
        <v>13</v>
      </c>
      <c r="C1" s="20" t="s">
        <v>14</v>
      </c>
      <c r="D1" s="5" t="s">
        <v>15</v>
      </c>
      <c r="E1" s="5" t="s">
        <v>16</v>
      </c>
    </row>
    <row r="2" spans="1:5">
      <c r="A2" s="20"/>
      <c r="B2" s="5" t="s">
        <v>17</v>
      </c>
      <c r="C2" s="20"/>
      <c r="D2" s="5" t="s">
        <v>18</v>
      </c>
      <c r="E2" s="5" t="s">
        <v>19</v>
      </c>
    </row>
    <row r="3" spans="1:5">
      <c r="A3" s="21" t="s">
        <v>20</v>
      </c>
      <c r="B3" s="11">
        <f>IFERROR(VLOOKUP($A3, master!$A:$H, 2, FALSE), "")</f>
        <v>11</v>
      </c>
      <c r="C3" s="23">
        <f>IFERROR(VLOOKUP($A3, master!$A:$H, 4, FALSE), "")</f>
        <v>1111111</v>
      </c>
      <c r="D3" s="11">
        <f>IFERROR(VLOOKUP($A3, master!$A:$H, 5, FALSE), "")</f>
        <v>1</v>
      </c>
      <c r="E3" s="12">
        <f>IFERROR(VLOOKUP($A3, master!$A:$H, 7, FALSE), "")</f>
        <v>46173</v>
      </c>
    </row>
    <row r="4" spans="1:5">
      <c r="A4" s="22"/>
      <c r="B4" s="11">
        <f>IFERROR(VLOOKUP($A3, master!$A:$H, 3, FALSE), "")</f>
        <v>12</v>
      </c>
      <c r="C4" s="23"/>
      <c r="D4" s="11" t="str">
        <f>IFERROR(VLOOKUP($A3, master!$A:$H, 6, FALSE), "")</f>
        <v>モビエレ</v>
      </c>
      <c r="E4" s="11" t="str">
        <f>IF(A3&lt;&gt;"", master!$H$5, "")</f>
        <v>2026年5月10日～2026年5月23日</v>
      </c>
    </row>
    <row r="5" spans="1:5">
      <c r="A5" s="21" t="s">
        <v>23</v>
      </c>
      <c r="B5" s="11">
        <f>IFERROR(VLOOKUP($A5, master!$A:$H, 2, FALSE), "")</f>
        <v>13</v>
      </c>
      <c r="C5" s="23">
        <f>IFERROR(VLOOKUP($A5, master!$A:$H, 4, FALSE), "")</f>
        <v>1111112</v>
      </c>
      <c r="D5" s="11">
        <f>IFERROR(VLOOKUP($A5, master!$A:$H, 5, FALSE), "")</f>
        <v>2</v>
      </c>
      <c r="E5" s="12">
        <f>IFERROR(VLOOKUP($A5, master!$A:$H, 7, FALSE), "")</f>
        <v>46174</v>
      </c>
    </row>
    <row r="6" spans="1:5">
      <c r="A6" s="22"/>
      <c r="B6" s="11">
        <f>IFERROR(VLOOKUP($A5, master!$A:$H, 3, FALSE), "")</f>
        <v>14</v>
      </c>
      <c r="C6" s="23"/>
      <c r="D6" s="11" t="str">
        <f>IFERROR(VLOOKUP($A5, master!$A:$H, 6, FALSE), "")</f>
        <v>モビエレ</v>
      </c>
      <c r="E6" s="11" t="str">
        <f>IF(A5&lt;&gt;"", master!$H$5, "")</f>
        <v>2026年5月10日～2026年5月23日</v>
      </c>
    </row>
    <row r="7" spans="1:5">
      <c r="A7" s="21" t="s">
        <v>24</v>
      </c>
      <c r="B7" s="11">
        <f>IFERROR(VLOOKUP($A7, master!$A:$H, 2, FALSE), "")</f>
        <v>15</v>
      </c>
      <c r="C7" s="23">
        <f>IFERROR(VLOOKUP($A7, master!$A:$H, 4, FALSE), "")</f>
        <v>1111113</v>
      </c>
      <c r="D7" s="11">
        <f>IFERROR(VLOOKUP($A7, master!$A:$H, 5, FALSE), "")</f>
        <v>3</v>
      </c>
      <c r="E7" s="12">
        <f>IFERROR(VLOOKUP($A7, master!$A:$H, 7, FALSE), "")</f>
        <v>46175</v>
      </c>
    </row>
    <row r="8" spans="1:5">
      <c r="A8" s="22"/>
      <c r="B8" s="11">
        <f>IFERROR(VLOOKUP($A7, master!$A:$H, 3, FALSE), "")</f>
        <v>16</v>
      </c>
      <c r="C8" s="23"/>
      <c r="D8" s="11" t="str">
        <f>IFERROR(VLOOKUP($A7, master!$A:$H, 6, FALSE), "")</f>
        <v>モビエレ</v>
      </c>
      <c r="E8" s="11" t="str">
        <f>IF(A7&lt;&gt;"", master!$H$5, "")</f>
        <v>2026年5月10日～2026年5月23日</v>
      </c>
    </row>
    <row r="9" spans="1:5">
      <c r="A9" s="21" t="s">
        <v>20</v>
      </c>
      <c r="B9" s="11">
        <f>IFERROR(VLOOKUP($A9, master!$A:$H, 2, FALSE), "")</f>
        <v>11</v>
      </c>
      <c r="C9" s="23">
        <f>IFERROR(VLOOKUP($A9, master!$A:$H, 4, FALSE), "")</f>
        <v>1111111</v>
      </c>
      <c r="D9" s="11">
        <f>IFERROR(VLOOKUP($A9, master!$A:$H, 5, FALSE), "")</f>
        <v>1</v>
      </c>
      <c r="E9" s="12">
        <f>IFERROR(VLOOKUP($A9, master!$A:$H, 7, FALSE), "")</f>
        <v>46173</v>
      </c>
    </row>
    <row r="10" spans="1:5">
      <c r="A10" s="22"/>
      <c r="B10" s="11">
        <f>IFERROR(VLOOKUP($A9, master!$A:$H, 3, FALSE), "")</f>
        <v>12</v>
      </c>
      <c r="C10" s="23"/>
      <c r="D10" s="11" t="str">
        <f>IFERROR(VLOOKUP($A9, master!$A:$H, 6, FALSE), "")</f>
        <v>モビエレ</v>
      </c>
      <c r="E10" s="11" t="str">
        <f>IF(A9&lt;&gt;"", master!$H$5, "")</f>
        <v>2026年5月10日～2026年5月23日</v>
      </c>
    </row>
    <row r="11" spans="1:5">
      <c r="A11" s="21" t="s">
        <v>23</v>
      </c>
      <c r="B11" s="11">
        <f>IFERROR(VLOOKUP($A11, master!$A:$H, 2, FALSE), "")</f>
        <v>13</v>
      </c>
      <c r="C11" s="23">
        <f>IFERROR(VLOOKUP($A11, master!$A:$H, 4, FALSE), "")</f>
        <v>1111112</v>
      </c>
      <c r="D11" s="11">
        <f>IFERROR(VLOOKUP($A11, master!$A:$H, 5, FALSE), "")</f>
        <v>2</v>
      </c>
      <c r="E11" s="12">
        <f>IFERROR(VLOOKUP($A11, master!$A:$H, 7, FALSE), "")</f>
        <v>46174</v>
      </c>
    </row>
    <row r="12" spans="1:5">
      <c r="A12" s="22"/>
      <c r="B12" s="11">
        <f>IFERROR(VLOOKUP($A11, master!$A:$H, 3, FALSE), "")</f>
        <v>14</v>
      </c>
      <c r="C12" s="23"/>
      <c r="D12" s="11" t="str">
        <f>IFERROR(VLOOKUP($A11, master!$A:$H, 6, FALSE), "")</f>
        <v>モビエレ</v>
      </c>
      <c r="E12" s="11" t="str">
        <f>IF(A11&lt;&gt;"", master!$H$5, "")</f>
        <v>2026年5月10日～2026年5月23日</v>
      </c>
    </row>
    <row r="13" spans="1:5">
      <c r="A13" s="21" t="s">
        <v>24</v>
      </c>
      <c r="B13" s="11">
        <f>IFERROR(VLOOKUP($A13, master!$A:$H, 2, FALSE), "")</f>
        <v>15</v>
      </c>
      <c r="C13" s="23">
        <f>IFERROR(VLOOKUP($A13, master!$A:$H, 4, FALSE), "")</f>
        <v>1111113</v>
      </c>
      <c r="D13" s="11">
        <f>IFERROR(VLOOKUP($A13, master!$A:$H, 5, FALSE), "")</f>
        <v>3</v>
      </c>
      <c r="E13" s="12">
        <f>IFERROR(VLOOKUP($A13, master!$A:$H, 7, FALSE), "")</f>
        <v>46175</v>
      </c>
    </row>
    <row r="14" spans="1:5">
      <c r="A14" s="22"/>
      <c r="B14" s="11">
        <f>IFERROR(VLOOKUP($A13, master!$A:$H, 3, FALSE), "")</f>
        <v>16</v>
      </c>
      <c r="C14" s="23"/>
      <c r="D14" s="11" t="str">
        <f>IFERROR(VLOOKUP($A13, master!$A:$H, 6, FALSE), "")</f>
        <v>モビエレ</v>
      </c>
      <c r="E14" s="11" t="str">
        <f>IF(A13&lt;&gt;"", master!$H$5, "")</f>
        <v>2026年5月10日～2026年5月23日</v>
      </c>
    </row>
    <row r="15" spans="1:5">
      <c r="A15" s="21" t="s">
        <v>20</v>
      </c>
      <c r="B15" s="11">
        <f>IFERROR(VLOOKUP($A15, master!$A:$H, 2, FALSE), "")</f>
        <v>11</v>
      </c>
      <c r="C15" s="23">
        <f>IFERROR(VLOOKUP($A15, master!$A:$H, 4, FALSE), "")</f>
        <v>1111111</v>
      </c>
      <c r="D15" s="11">
        <f>IFERROR(VLOOKUP($A15, master!$A:$H, 5, FALSE), "")</f>
        <v>1</v>
      </c>
      <c r="E15" s="12">
        <f>IFERROR(VLOOKUP($A15, master!$A:$H, 7, FALSE), "")</f>
        <v>46173</v>
      </c>
    </row>
    <row r="16" spans="1:5">
      <c r="A16" s="22"/>
      <c r="B16" s="11">
        <f>IFERROR(VLOOKUP($A15, master!$A:$H, 3, FALSE), "")</f>
        <v>12</v>
      </c>
      <c r="C16" s="23"/>
      <c r="D16" s="11" t="str">
        <f>IFERROR(VLOOKUP($A15, master!$A:$H, 6, FALSE), "")</f>
        <v>モビエレ</v>
      </c>
      <c r="E16" s="11" t="str">
        <f>IF(A15&lt;&gt;"", master!$H$5, "")</f>
        <v>2026年5月10日～2026年5月23日</v>
      </c>
    </row>
    <row r="17" spans="1:5">
      <c r="A17" s="21" t="s">
        <v>20</v>
      </c>
      <c r="B17" s="11">
        <f>IFERROR(VLOOKUP($A17, master!$A:$H, 2, FALSE), "")</f>
        <v>11</v>
      </c>
      <c r="C17" s="23">
        <f>IFERROR(VLOOKUP($A17, master!$A:$H, 4, FALSE), "")</f>
        <v>1111111</v>
      </c>
      <c r="D17" s="11">
        <f>IFERROR(VLOOKUP($A17, master!$A:$H, 5, FALSE), "")</f>
        <v>1</v>
      </c>
      <c r="E17" s="12">
        <f>IFERROR(VLOOKUP($A17, master!$A:$H, 7, FALSE), "")</f>
        <v>46173</v>
      </c>
    </row>
    <row r="18" spans="1:5">
      <c r="A18" s="22"/>
      <c r="B18" s="11">
        <f>IFERROR(VLOOKUP($A17, master!$A:$H, 3, FALSE), "")</f>
        <v>12</v>
      </c>
      <c r="C18" s="23"/>
      <c r="D18" s="11" t="str">
        <f>IFERROR(VLOOKUP($A17, master!$A:$H, 6, FALSE), "")</f>
        <v>モビエレ</v>
      </c>
      <c r="E18" s="11" t="str">
        <f>IF(A17&lt;&gt;"", master!$H$5, "")</f>
        <v>2026年5月10日～2026年5月23日</v>
      </c>
    </row>
    <row r="19" spans="1:5">
      <c r="A19" s="21" t="s">
        <v>20</v>
      </c>
      <c r="B19" s="11">
        <f>IFERROR(VLOOKUP($A19, master!$A:$H, 2, FALSE), "")</f>
        <v>11</v>
      </c>
      <c r="C19" s="23">
        <f>IFERROR(VLOOKUP($A19, master!$A:$H, 4, FALSE), "")</f>
        <v>1111111</v>
      </c>
      <c r="D19" s="11">
        <f>IFERROR(VLOOKUP($A19, master!$A:$H, 5, FALSE), "")</f>
        <v>1</v>
      </c>
      <c r="E19" s="12">
        <f>IFERROR(VLOOKUP($A19, master!$A:$H, 7, FALSE), "")</f>
        <v>46173</v>
      </c>
    </row>
    <row r="20" spans="1:5">
      <c r="A20" s="22"/>
      <c r="B20" s="11">
        <f>IFERROR(VLOOKUP($A19, master!$A:$H, 3, FALSE), "")</f>
        <v>12</v>
      </c>
      <c r="C20" s="23"/>
      <c r="D20" s="11" t="str">
        <f>IFERROR(VLOOKUP($A19, master!$A:$H, 6, FALSE), "")</f>
        <v>モビエレ</v>
      </c>
      <c r="E20" s="11" t="str">
        <f>IF(A19&lt;&gt;"", master!$H$5, "")</f>
        <v>2026年5月10日～2026年5月23日</v>
      </c>
    </row>
    <row r="21" spans="1:5">
      <c r="A21" s="21" t="s">
        <v>20</v>
      </c>
      <c r="B21" s="11">
        <f>IFERROR(VLOOKUP($A21, master!$A:$H, 2, FALSE), "")</f>
        <v>11</v>
      </c>
      <c r="C21" s="23">
        <f>IFERROR(VLOOKUP($A21, master!$A:$H, 4, FALSE), "")</f>
        <v>1111111</v>
      </c>
      <c r="D21" s="11">
        <f>IFERROR(VLOOKUP($A21, master!$A:$H, 5, FALSE), "")</f>
        <v>1</v>
      </c>
      <c r="E21" s="12">
        <f>IFERROR(VLOOKUP($A21, master!$A:$H, 7, FALSE), "")</f>
        <v>46173</v>
      </c>
    </row>
    <row r="22" spans="1:5">
      <c r="A22" s="22"/>
      <c r="B22" s="11">
        <f>IFERROR(VLOOKUP($A21, master!$A:$H, 3, FALSE), "")</f>
        <v>12</v>
      </c>
      <c r="C22" s="23"/>
      <c r="D22" s="11" t="str">
        <f>IFERROR(VLOOKUP($A21, master!$A:$H, 6, FALSE), "")</f>
        <v>モビエレ</v>
      </c>
      <c r="E22" s="11" t="str">
        <f>IF(A21&lt;&gt;"", master!$H$5, "")</f>
        <v>2026年5月10日～2026年5月23日</v>
      </c>
    </row>
    <row r="23" spans="1:5">
      <c r="A23" s="21"/>
      <c r="B23" s="11" t="str">
        <f>IFERROR(VLOOKUP($A23, master!$A:$H, 2, FALSE), "")</f>
        <v/>
      </c>
      <c r="C23" s="23" t="str">
        <f>IFERROR(VLOOKUP($A23, master!$A:$H, 4, FALSE), "")</f>
        <v/>
      </c>
      <c r="D23" s="11" t="str">
        <f>IFERROR(VLOOKUP($A23, master!$A:$H, 5, FALSE), "")</f>
        <v/>
      </c>
      <c r="E23" s="12" t="str">
        <f>IFERROR(VLOOKUP($A23, master!$A:$H, 7, FALSE), "")</f>
        <v/>
      </c>
    </row>
    <row r="24" spans="1:5">
      <c r="A24" s="22"/>
      <c r="B24" s="11" t="str">
        <f>IFERROR(VLOOKUP($A23, master!$A:$H, 3, FALSE), "")</f>
        <v/>
      </c>
      <c r="C24" s="23"/>
      <c r="D24" s="11" t="str">
        <f>IFERROR(VLOOKUP($A23, master!$A:$H, 6, FALSE), "")</f>
        <v/>
      </c>
      <c r="E24" s="11" t="str">
        <f>IFERROR(VLOOKUP($A23, master!$A:$H, 8, FALSE), "")</f>
        <v/>
      </c>
    </row>
    <row r="25" spans="1:5">
      <c r="A25" s="21"/>
      <c r="B25" s="4"/>
      <c r="C25" s="23" t="str">
        <f>IFERROR(VLOOKUP($A25, master!$A:$H, 4, FALSE), "")</f>
        <v/>
      </c>
      <c r="D25" s="4"/>
      <c r="E25" s="4"/>
    </row>
    <row r="26" spans="1:5">
      <c r="A26" s="22"/>
      <c r="B26" s="4"/>
      <c r="C26" s="23"/>
      <c r="D26" s="4"/>
      <c r="E26" s="4"/>
    </row>
    <row r="27" spans="1:5">
      <c r="A27" s="21"/>
      <c r="B27" s="4"/>
      <c r="C27" s="23" t="str">
        <f>IFERROR(VLOOKUP($A27, master!$A:$H, 4, FALSE), "")</f>
        <v/>
      </c>
      <c r="D27" s="4"/>
      <c r="E27" s="4"/>
    </row>
    <row r="28" spans="1:5">
      <c r="A28" s="22"/>
      <c r="B28" s="4"/>
      <c r="C28" s="23"/>
      <c r="D28" s="4"/>
      <c r="E28" s="4"/>
    </row>
    <row r="29" spans="1:5">
      <c r="A29" s="21"/>
      <c r="B29" s="4"/>
      <c r="C29" s="23" t="str">
        <f>IFERROR(VLOOKUP($A29, master!$A:$H, 4, FALSE), "")</f>
        <v/>
      </c>
      <c r="D29" s="4"/>
      <c r="E29" s="4"/>
    </row>
    <row r="30" spans="1:5">
      <c r="A30" s="22"/>
      <c r="B30" s="4"/>
      <c r="C30" s="23"/>
      <c r="D30" s="4"/>
      <c r="E30" s="4"/>
    </row>
    <row r="31" spans="1:5">
      <c r="A31" s="21"/>
      <c r="B31" s="4"/>
      <c r="C31" s="23" t="str">
        <f>IFERROR(VLOOKUP($A31, master!$A:$H, 4, FALSE), "")</f>
        <v/>
      </c>
      <c r="D31" s="4"/>
      <c r="E31" s="4"/>
    </row>
    <row r="32" spans="1:5">
      <c r="A32" s="22"/>
      <c r="B32" s="4"/>
      <c r="C32" s="23"/>
      <c r="D32" s="4"/>
      <c r="E32" s="4"/>
    </row>
    <row r="33" spans="1:5">
      <c r="A33" s="21"/>
      <c r="B33" s="4"/>
      <c r="C33" s="23" t="str">
        <f>IFERROR(VLOOKUP($A33, master!$A:$H, 4, FALSE), "")</f>
        <v/>
      </c>
      <c r="D33" s="4"/>
      <c r="E33" s="4"/>
    </row>
    <row r="34" spans="1:5">
      <c r="A34" s="22"/>
      <c r="B34" s="4"/>
      <c r="C34" s="23"/>
      <c r="D34" s="4"/>
      <c r="E34" s="4"/>
    </row>
    <row r="35" spans="1:5">
      <c r="A35" s="21"/>
      <c r="B35" s="4"/>
      <c r="C35" s="23" t="str">
        <f>IFERROR(VLOOKUP($A35, master!$A:$H, 4, FALSE), "")</f>
        <v/>
      </c>
      <c r="D35" s="4"/>
      <c r="E35" s="4"/>
    </row>
    <row r="36" spans="1:5">
      <c r="A36" s="22"/>
      <c r="B36" s="4"/>
      <c r="C36" s="23"/>
      <c r="D36" s="4"/>
      <c r="E36" s="4"/>
    </row>
    <row r="37" spans="1:5">
      <c r="A37" s="21"/>
      <c r="B37" s="4"/>
      <c r="C37" s="23" t="str">
        <f>IFERROR(VLOOKUP($A37, master!$A:$H, 4, FALSE), "")</f>
        <v/>
      </c>
      <c r="D37" s="4"/>
      <c r="E37" s="4"/>
    </row>
    <row r="38" spans="1:5">
      <c r="A38" s="22"/>
      <c r="B38" s="4"/>
      <c r="C38" s="23"/>
      <c r="D38" s="4"/>
      <c r="E38" s="4"/>
    </row>
    <row r="39" spans="1:5">
      <c r="A39" s="21"/>
      <c r="B39" s="4"/>
      <c r="C39" s="23" t="str">
        <f>IFERROR(VLOOKUP($A39, master!$A:$H, 4, FALSE), "")</f>
        <v/>
      </c>
      <c r="D39" s="4"/>
      <c r="E39" s="4"/>
    </row>
    <row r="40" spans="1:5">
      <c r="A40" s="22"/>
      <c r="B40" s="4"/>
      <c r="C40" s="23"/>
      <c r="D40" s="4"/>
      <c r="E40" s="4"/>
    </row>
    <row r="43" spans="1:5">
      <c r="A43" t="str" cm="1">
        <f t="array" ref="A43:A45">_xlfn.ANCHORARRAY(作業用!$A$1)</f>
        <v>部屋2</v>
      </c>
    </row>
    <row r="44" spans="1:5">
      <c r="A44" t="str">
        <v>スペアナ</v>
      </c>
    </row>
    <row r="45" spans="1:5">
      <c r="A45" t="str">
        <v>ラインレシーバ</v>
      </c>
    </row>
  </sheetData>
  <mergeCells count="40">
    <mergeCell ref="A35:A36"/>
    <mergeCell ref="C35:C36"/>
    <mergeCell ref="A37:A38"/>
    <mergeCell ref="C37:C38"/>
    <mergeCell ref="A39:A40"/>
    <mergeCell ref="C39:C40"/>
    <mergeCell ref="A33:A34"/>
    <mergeCell ref="C33:C34"/>
    <mergeCell ref="A29:A30"/>
    <mergeCell ref="C29:C30"/>
    <mergeCell ref="A5:A6"/>
    <mergeCell ref="C5:C6"/>
    <mergeCell ref="A7:A8"/>
    <mergeCell ref="C7:C8"/>
    <mergeCell ref="A9:A10"/>
    <mergeCell ref="C9:C10"/>
    <mergeCell ref="A11:A12"/>
    <mergeCell ref="C11:C12"/>
    <mergeCell ref="A13:A14"/>
    <mergeCell ref="C13:C14"/>
    <mergeCell ref="A15:A16"/>
    <mergeCell ref="C15:C16"/>
    <mergeCell ref="A21:A22"/>
    <mergeCell ref="C21:C22"/>
    <mergeCell ref="A17:A18"/>
    <mergeCell ref="C17:C18"/>
    <mergeCell ref="A31:A32"/>
    <mergeCell ref="C31:C32"/>
    <mergeCell ref="A23:A24"/>
    <mergeCell ref="C23:C24"/>
    <mergeCell ref="A25:A26"/>
    <mergeCell ref="C25:C26"/>
    <mergeCell ref="A27:A28"/>
    <mergeCell ref="C27:C28"/>
    <mergeCell ref="A1:A2"/>
    <mergeCell ref="C1:C2"/>
    <mergeCell ref="A3:A4"/>
    <mergeCell ref="C3:C4"/>
    <mergeCell ref="A19:A20"/>
    <mergeCell ref="C19:C20"/>
  </mergeCells>
  <phoneticPr fontId="3"/>
  <pageMargins left="0.7" right="0.7" top="0.75" bottom="0.75" header="0.3" footer="0.3"/>
  <ignoredErrors>
    <ignoredError sqref="D4" 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B21CD5-DF64-4E11-A481-6CBC37735D0D}">
          <x14:formula1>
            <xm:f>master!$A$2:$A$4</xm:f>
          </x14:formula1>
          <xm:sqref>A3:A22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C6" sqref="C6"/>
    </sheetView>
  </sheetViews>
  <sheetFormatPr defaultRowHeight="18"/>
  <cols>
    <col min="1" max="5" width="25.8984375" customWidth="1"/>
    <col min="6" max="6" width="9.796875" customWidth="1"/>
    <col min="7" max="7" width="14.09765625" bestFit="1" customWidth="1"/>
    <col min="8" max="8" width="29.59765625" bestFit="1" customWidth="1"/>
  </cols>
  <sheetData>
    <row r="1" spans="1:8">
      <c r="A1" s="35" t="s">
        <v>12</v>
      </c>
      <c r="B1" s="28" t="s">
        <v>22</v>
      </c>
      <c r="C1" s="28" t="s">
        <v>17</v>
      </c>
      <c r="D1" s="28" t="s">
        <v>14</v>
      </c>
      <c r="E1" s="28" t="s">
        <v>15</v>
      </c>
      <c r="F1" s="28" t="s">
        <v>18</v>
      </c>
      <c r="G1" s="33" t="s">
        <v>16</v>
      </c>
      <c r="H1" s="4" t="s">
        <v>19</v>
      </c>
    </row>
    <row r="2" spans="1:8">
      <c r="A2" s="36" t="s">
        <v>20</v>
      </c>
      <c r="B2" s="2">
        <v>11</v>
      </c>
      <c r="C2" s="2">
        <v>12</v>
      </c>
      <c r="D2" s="8">
        <v>1111111</v>
      </c>
      <c r="E2" s="2">
        <v>1</v>
      </c>
      <c r="F2" s="2" t="s">
        <v>7</v>
      </c>
      <c r="G2" s="38">
        <v>46173</v>
      </c>
      <c r="H2" s="3" t="s">
        <v>8</v>
      </c>
    </row>
    <row r="3" spans="1:8">
      <c r="A3" s="37" t="s">
        <v>9</v>
      </c>
      <c r="B3" s="2">
        <v>13</v>
      </c>
      <c r="C3" s="2">
        <v>14</v>
      </c>
      <c r="D3" s="8">
        <v>1111112</v>
      </c>
      <c r="E3" s="2">
        <v>2</v>
      </c>
      <c r="F3" s="2" t="s">
        <v>7</v>
      </c>
      <c r="G3" s="38">
        <v>46174</v>
      </c>
      <c r="H3" s="3" t="s">
        <v>10</v>
      </c>
    </row>
    <row r="4" spans="1:8">
      <c r="A4" s="36" t="s">
        <v>21</v>
      </c>
      <c r="B4" s="6">
        <v>15</v>
      </c>
      <c r="C4" s="6">
        <v>16</v>
      </c>
      <c r="D4" s="7">
        <v>1111113</v>
      </c>
      <c r="E4" s="6">
        <v>3</v>
      </c>
      <c r="F4" s="6" t="s">
        <v>7</v>
      </c>
      <c r="G4" s="39">
        <v>46175</v>
      </c>
      <c r="H4" s="3" t="s">
        <v>11</v>
      </c>
    </row>
    <row r="5" spans="1:8">
      <c r="H5" s="3" t="s">
        <v>25</v>
      </c>
    </row>
    <row r="16" spans="1:8">
      <c r="A16" s="9"/>
    </row>
    <row r="18" spans="1:5">
      <c r="A18" s="10"/>
    </row>
    <row r="21" spans="1:5">
      <c r="A21" s="16" t="s">
        <v>12</v>
      </c>
      <c r="B21" s="1" t="s">
        <v>0</v>
      </c>
      <c r="C21" s="17" t="s">
        <v>1</v>
      </c>
      <c r="D21" s="1" t="s">
        <v>2</v>
      </c>
      <c r="E21" s="1" t="s">
        <v>3</v>
      </c>
    </row>
    <row r="22" spans="1:5">
      <c r="A22" s="17"/>
      <c r="B22" s="1" t="s">
        <v>4</v>
      </c>
      <c r="C22" s="17"/>
      <c r="D22" s="1" t="s">
        <v>5</v>
      </c>
      <c r="E22" s="1" t="s">
        <v>6</v>
      </c>
    </row>
    <row r="23" spans="1:5">
      <c r="A23" s="13" t="s">
        <v>20</v>
      </c>
      <c r="B23" s="2">
        <v>11</v>
      </c>
      <c r="C23" s="15">
        <v>1111111</v>
      </c>
      <c r="D23" s="2">
        <v>1</v>
      </c>
      <c r="E23" s="3">
        <v>46173</v>
      </c>
    </row>
    <row r="24" spans="1:5">
      <c r="A24" s="14"/>
      <c r="B24" s="2">
        <v>12</v>
      </c>
      <c r="C24" s="15"/>
      <c r="D24" s="2" t="s">
        <v>7</v>
      </c>
      <c r="E24" s="3" t="s">
        <v>8</v>
      </c>
    </row>
    <row r="25" spans="1:5">
      <c r="A25" s="18" t="s">
        <v>9</v>
      </c>
      <c r="B25" s="2">
        <v>13</v>
      </c>
      <c r="C25" s="15">
        <v>1111112</v>
      </c>
      <c r="D25" s="2">
        <v>2</v>
      </c>
      <c r="E25" s="3">
        <v>46174</v>
      </c>
    </row>
    <row r="26" spans="1:5">
      <c r="A26" s="19"/>
      <c r="B26" s="2">
        <v>14</v>
      </c>
      <c r="C26" s="15"/>
      <c r="D26" s="2" t="s">
        <v>7</v>
      </c>
      <c r="E26" s="3" t="s">
        <v>10</v>
      </c>
    </row>
    <row r="27" spans="1:5">
      <c r="A27" s="13" t="s">
        <v>21</v>
      </c>
      <c r="B27" s="2">
        <v>15</v>
      </c>
      <c r="C27" s="15">
        <v>1111113</v>
      </c>
      <c r="D27" s="2">
        <v>3</v>
      </c>
      <c r="E27" s="3">
        <v>46175</v>
      </c>
    </row>
    <row r="28" spans="1:5">
      <c r="A28" s="14"/>
      <c r="B28" s="2">
        <v>16</v>
      </c>
      <c r="C28" s="15"/>
      <c r="D28" s="2" t="s">
        <v>7</v>
      </c>
      <c r="E28" s="3" t="s">
        <v>11</v>
      </c>
    </row>
  </sheetData>
  <mergeCells count="8">
    <mergeCell ref="A27:A28"/>
    <mergeCell ref="C27:C28"/>
    <mergeCell ref="A21:A22"/>
    <mergeCell ref="C21:C22"/>
    <mergeCell ref="A23:A24"/>
    <mergeCell ref="C23:C24"/>
    <mergeCell ref="A25:A26"/>
    <mergeCell ref="C25:C26"/>
  </mergeCells>
  <phoneticPr fontId="3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EB81B-46EA-48CE-A3F1-6C3DF5482D9A}">
  <dimension ref="A1:G22"/>
  <sheetViews>
    <sheetView workbookViewId="0">
      <selection activeCell="G8" sqref="G8"/>
    </sheetView>
  </sheetViews>
  <sheetFormatPr defaultRowHeight="18"/>
  <cols>
    <col min="1" max="1" width="10.69921875" bestFit="1" customWidth="1"/>
    <col min="2" max="2" width="20" bestFit="1" customWidth="1"/>
    <col min="7" max="7" width="11.296875" bestFit="1" customWidth="1"/>
  </cols>
  <sheetData>
    <row r="1" spans="1:7">
      <c r="A1" s="29" t="s">
        <v>26</v>
      </c>
      <c r="B1" s="29" t="s">
        <v>27</v>
      </c>
    </row>
    <row r="2" spans="1:7">
      <c r="A2" s="27" t="s">
        <v>40</v>
      </c>
      <c r="B2" s="27" t="s">
        <v>29</v>
      </c>
    </row>
    <row r="3" spans="1:7">
      <c r="A3" s="27" t="s">
        <v>49</v>
      </c>
      <c r="B3" s="26" t="s">
        <v>31</v>
      </c>
    </row>
    <row r="4" spans="1:7">
      <c r="A4" s="27" t="s">
        <v>41</v>
      </c>
    </row>
    <row r="5" spans="1:7">
      <c r="A5" s="27" t="s">
        <v>42</v>
      </c>
    </row>
    <row r="6" spans="1:7">
      <c r="A6" s="27" t="s">
        <v>43</v>
      </c>
      <c r="G6" s="49"/>
    </row>
    <row r="7" spans="1:7" hidden="1">
      <c r="A7" s="27" t="s">
        <v>44</v>
      </c>
    </row>
    <row r="8" spans="1:7">
      <c r="A8" s="27" t="s">
        <v>45</v>
      </c>
    </row>
    <row r="9" spans="1:7" hidden="1">
      <c r="A9" s="27" t="s">
        <v>46</v>
      </c>
    </row>
    <row r="10" spans="1:7">
      <c r="A10" s="27" t="s">
        <v>47</v>
      </c>
    </row>
    <row r="11" spans="1:7">
      <c r="A11" s="27" t="s">
        <v>48</v>
      </c>
    </row>
    <row r="12" spans="1:7">
      <c r="A12" s="27" t="s">
        <v>28</v>
      </c>
    </row>
    <row r="13" spans="1:7">
      <c r="A13" s="27" t="s">
        <v>39</v>
      </c>
    </row>
    <row r="14" spans="1:7">
      <c r="A14" s="27" t="s">
        <v>30</v>
      </c>
    </row>
    <row r="15" spans="1:7">
      <c r="A15" s="27" t="s">
        <v>32</v>
      </c>
    </row>
    <row r="16" spans="1:7">
      <c r="A16" s="27" t="s">
        <v>33</v>
      </c>
    </row>
    <row r="17" spans="1:1">
      <c r="A17" s="27" t="s">
        <v>34</v>
      </c>
    </row>
    <row r="18" spans="1:1">
      <c r="A18" s="27" t="s">
        <v>35</v>
      </c>
    </row>
    <row r="19" spans="1:1" hidden="1">
      <c r="A19" s="27" t="s">
        <v>36</v>
      </c>
    </row>
    <row r="20" spans="1:1">
      <c r="A20" s="27" t="s">
        <v>37</v>
      </c>
    </row>
    <row r="21" spans="1:1">
      <c r="A21" s="26" t="s">
        <v>38</v>
      </c>
    </row>
    <row r="22" spans="1:1">
      <c r="A22" s="26" t="s">
        <v>50</v>
      </c>
    </row>
  </sheetData>
  <phoneticPr fontId="3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342C4-9C22-47CC-86B3-B2A8E60C713F}">
  <dimension ref="A1:B22"/>
  <sheetViews>
    <sheetView workbookViewId="0">
      <selection activeCell="B3" sqref="B3"/>
    </sheetView>
  </sheetViews>
  <sheetFormatPr defaultRowHeight="18"/>
  <cols>
    <col min="1" max="1" width="10.69921875" bestFit="1" customWidth="1"/>
    <col min="2" max="2" width="20" bestFit="1" customWidth="1"/>
  </cols>
  <sheetData>
    <row r="1" spans="1:2">
      <c r="A1" s="32" t="s">
        <v>51</v>
      </c>
      <c r="B1" s="33" t="s">
        <v>52</v>
      </c>
    </row>
    <row r="2" spans="1:2">
      <c r="A2" s="30" t="s">
        <v>26</v>
      </c>
      <c r="B2" s="31" t="s">
        <v>27</v>
      </c>
    </row>
    <row r="3" spans="1:2">
      <c r="A3" s="24" t="s">
        <v>28</v>
      </c>
      <c r="B3" s="31" t="s">
        <v>29</v>
      </c>
    </row>
    <row r="4" spans="1:2">
      <c r="A4" s="24" t="s">
        <v>30</v>
      </c>
      <c r="B4" s="31" t="s">
        <v>31</v>
      </c>
    </row>
    <row r="5" spans="1:2">
      <c r="A5" s="24" t="s">
        <v>32</v>
      </c>
      <c r="B5" s="31" t="s">
        <v>29</v>
      </c>
    </row>
    <row r="6" spans="1:2">
      <c r="A6" s="24" t="s">
        <v>33</v>
      </c>
      <c r="B6" s="31" t="s">
        <v>31</v>
      </c>
    </row>
    <row r="7" spans="1:2">
      <c r="A7" s="24" t="s">
        <v>34</v>
      </c>
      <c r="B7" s="31" t="s">
        <v>29</v>
      </c>
    </row>
    <row r="8" spans="1:2">
      <c r="A8" s="24" t="s">
        <v>35</v>
      </c>
      <c r="B8" s="31" t="s">
        <v>31</v>
      </c>
    </row>
    <row r="9" spans="1:2">
      <c r="A9" s="24" t="s">
        <v>36</v>
      </c>
      <c r="B9" s="31" t="s">
        <v>29</v>
      </c>
    </row>
    <row r="10" spans="1:2">
      <c r="A10" s="24" t="s">
        <v>37</v>
      </c>
      <c r="B10" s="31" t="s">
        <v>31</v>
      </c>
    </row>
    <row r="11" spans="1:2">
      <c r="A11" s="24" t="s">
        <v>38</v>
      </c>
      <c r="B11" s="31" t="s">
        <v>29</v>
      </c>
    </row>
    <row r="12" spans="1:2">
      <c r="A12" s="24" t="s">
        <v>39</v>
      </c>
      <c r="B12" s="31" t="s">
        <v>31</v>
      </c>
    </row>
    <row r="13" spans="1:2">
      <c r="A13" s="24" t="s">
        <v>40</v>
      </c>
      <c r="B13" s="31" t="s">
        <v>29</v>
      </c>
    </row>
    <row r="14" spans="1:2">
      <c r="A14" s="24" t="s">
        <v>41</v>
      </c>
      <c r="B14" s="31" t="s">
        <v>31</v>
      </c>
    </row>
    <row r="15" spans="1:2">
      <c r="A15" s="24" t="s">
        <v>42</v>
      </c>
      <c r="B15" s="31" t="s">
        <v>29</v>
      </c>
    </row>
    <row r="16" spans="1:2">
      <c r="A16" s="24" t="s">
        <v>43</v>
      </c>
      <c r="B16" s="31" t="s">
        <v>31</v>
      </c>
    </row>
    <row r="17" spans="1:2">
      <c r="A17" s="24" t="s">
        <v>44</v>
      </c>
      <c r="B17" s="31" t="s">
        <v>29</v>
      </c>
    </row>
    <row r="18" spans="1:2">
      <c r="A18" s="24" t="s">
        <v>45</v>
      </c>
      <c r="B18" s="31" t="s">
        <v>31</v>
      </c>
    </row>
    <row r="19" spans="1:2">
      <c r="A19" s="24" t="s">
        <v>46</v>
      </c>
      <c r="B19" s="31" t="s">
        <v>29</v>
      </c>
    </row>
    <row r="20" spans="1:2">
      <c r="A20" s="24" t="s">
        <v>47</v>
      </c>
      <c r="B20" s="31" t="s">
        <v>31</v>
      </c>
    </row>
    <row r="21" spans="1:2">
      <c r="A21" s="24" t="s">
        <v>48</v>
      </c>
      <c r="B21" s="31" t="s">
        <v>29</v>
      </c>
    </row>
    <row r="22" spans="1:2">
      <c r="A22" s="34" t="s">
        <v>49</v>
      </c>
      <c r="B22" s="25" t="s">
        <v>31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FBB87-0BF6-4ABD-8CC6-E6C24783BA96}">
  <dimension ref="A1:I13"/>
  <sheetViews>
    <sheetView workbookViewId="0">
      <selection activeCell="E20" sqref="E20"/>
    </sheetView>
  </sheetViews>
  <sheetFormatPr defaultRowHeight="18"/>
  <cols>
    <col min="1" max="1" width="20.3984375" customWidth="1"/>
    <col min="2" max="2" width="20" customWidth="1"/>
    <col min="3" max="3" width="15" customWidth="1"/>
    <col min="4" max="4" width="21.69921875" customWidth="1"/>
    <col min="5" max="5" width="10.8984375" customWidth="1"/>
    <col min="6" max="6" width="20.3984375" customWidth="1"/>
    <col min="7" max="7" width="30.5" customWidth="1"/>
    <col min="8" max="8" width="10.19921875" customWidth="1"/>
    <col min="9" max="9" width="14.09765625" bestFit="1" customWidth="1"/>
  </cols>
  <sheetData>
    <row r="1" spans="1:9">
      <c r="A1" t="s">
        <v>61</v>
      </c>
      <c r="B1" t="s">
        <v>66</v>
      </c>
      <c r="C1" s="40" t="s">
        <v>55</v>
      </c>
      <c r="D1" s="40" t="s">
        <v>53</v>
      </c>
      <c r="E1" s="40" t="s">
        <v>56</v>
      </c>
      <c r="F1" s="40" t="s">
        <v>57</v>
      </c>
      <c r="G1" s="40" t="s">
        <v>58</v>
      </c>
      <c r="H1" s="40" t="s">
        <v>59</v>
      </c>
      <c r="I1" s="41" t="s">
        <v>60</v>
      </c>
    </row>
    <row r="2" spans="1:9">
      <c r="A2" t="s">
        <v>28</v>
      </c>
      <c r="B2" s="44" t="s">
        <v>29</v>
      </c>
      <c r="C2" s="45" t="s">
        <v>67</v>
      </c>
      <c r="D2" s="40">
        <v>11</v>
      </c>
      <c r="E2" s="40">
        <v>12</v>
      </c>
      <c r="F2" s="40">
        <v>1111111</v>
      </c>
      <c r="G2" s="40">
        <v>1</v>
      </c>
      <c r="H2" s="40" t="s">
        <v>54</v>
      </c>
      <c r="I2" s="41">
        <v>46173</v>
      </c>
    </row>
    <row r="3" spans="1:9">
      <c r="A3" t="s">
        <v>28</v>
      </c>
      <c r="B3" s="44" t="s">
        <v>29</v>
      </c>
      <c r="C3" s="40" t="s">
        <v>63</v>
      </c>
      <c r="D3" s="40">
        <v>13</v>
      </c>
      <c r="E3" s="40">
        <v>14</v>
      </c>
      <c r="F3" s="40">
        <v>1111112</v>
      </c>
      <c r="G3" s="40">
        <v>2</v>
      </c>
      <c r="H3" s="40" t="s">
        <v>54</v>
      </c>
      <c r="I3" s="41">
        <v>46174</v>
      </c>
    </row>
    <row r="4" spans="1:9">
      <c r="A4" t="s">
        <v>28</v>
      </c>
      <c r="B4" s="44" t="s">
        <v>29</v>
      </c>
      <c r="C4" s="42" t="s">
        <v>64</v>
      </c>
      <c r="D4" s="42">
        <v>15</v>
      </c>
      <c r="E4" s="42">
        <v>16</v>
      </c>
      <c r="F4" s="42">
        <v>1111113</v>
      </c>
      <c r="G4" s="42">
        <v>3</v>
      </c>
      <c r="H4" s="42" t="s">
        <v>65</v>
      </c>
      <c r="I4" s="43">
        <v>46175</v>
      </c>
    </row>
    <row r="5" spans="1:9">
      <c r="A5" t="s">
        <v>28</v>
      </c>
      <c r="B5" s="44" t="s">
        <v>31</v>
      </c>
      <c r="C5" s="46" t="s">
        <v>68</v>
      </c>
      <c r="D5" s="40">
        <v>11</v>
      </c>
      <c r="E5" s="40">
        <v>12</v>
      </c>
      <c r="F5" s="40">
        <v>1111111</v>
      </c>
      <c r="G5" s="40">
        <v>1</v>
      </c>
      <c r="H5" s="40" t="s">
        <v>54</v>
      </c>
      <c r="I5" s="41">
        <v>46173</v>
      </c>
    </row>
    <row r="6" spans="1:9">
      <c r="A6" t="s">
        <v>28</v>
      </c>
      <c r="B6" s="44" t="s">
        <v>31</v>
      </c>
      <c r="C6" s="40" t="s">
        <v>69</v>
      </c>
      <c r="D6" s="40">
        <v>13</v>
      </c>
      <c r="E6" s="40">
        <v>14</v>
      </c>
      <c r="F6" s="40">
        <v>1111112</v>
      </c>
      <c r="G6" s="40">
        <v>2</v>
      </c>
      <c r="H6" s="40" t="s">
        <v>54</v>
      </c>
      <c r="I6" s="41">
        <v>46174</v>
      </c>
    </row>
    <row r="7" spans="1:9">
      <c r="A7" t="s">
        <v>28</v>
      </c>
      <c r="B7" s="44" t="s">
        <v>31</v>
      </c>
      <c r="C7" s="42" t="s">
        <v>70</v>
      </c>
      <c r="D7" s="42">
        <v>15</v>
      </c>
      <c r="E7" s="42">
        <v>16</v>
      </c>
      <c r="F7" s="42">
        <v>1111113</v>
      </c>
      <c r="G7" s="42">
        <v>3</v>
      </c>
      <c r="H7" s="42" t="s">
        <v>65</v>
      </c>
      <c r="I7" s="43">
        <v>46175</v>
      </c>
    </row>
    <row r="8" spans="1:9">
      <c r="A8" t="s">
        <v>30</v>
      </c>
      <c r="B8" s="44" t="s">
        <v>29</v>
      </c>
      <c r="C8" s="47" t="s">
        <v>71</v>
      </c>
      <c r="D8" s="40">
        <v>11</v>
      </c>
      <c r="E8" s="40">
        <v>12</v>
      </c>
      <c r="F8" s="40">
        <v>1111111</v>
      </c>
      <c r="G8" s="40">
        <v>1</v>
      </c>
      <c r="H8" s="40" t="s">
        <v>54</v>
      </c>
      <c r="I8" s="41">
        <v>46173</v>
      </c>
    </row>
    <row r="9" spans="1:9">
      <c r="A9" t="s">
        <v>30</v>
      </c>
      <c r="B9" s="44" t="s">
        <v>29</v>
      </c>
      <c r="C9" s="40" t="s">
        <v>63</v>
      </c>
      <c r="D9" s="40">
        <v>13</v>
      </c>
      <c r="E9" s="40">
        <v>14</v>
      </c>
      <c r="F9" s="40">
        <v>1111112</v>
      </c>
      <c r="G9" s="40">
        <v>2</v>
      </c>
      <c r="H9" s="40" t="s">
        <v>54</v>
      </c>
      <c r="I9" s="41">
        <v>46174</v>
      </c>
    </row>
    <row r="10" spans="1:9">
      <c r="A10" t="s">
        <v>30</v>
      </c>
      <c r="B10" s="44" t="s">
        <v>29</v>
      </c>
      <c r="C10" s="42" t="s">
        <v>64</v>
      </c>
      <c r="D10" s="42">
        <v>15</v>
      </c>
      <c r="E10" s="42">
        <v>16</v>
      </c>
      <c r="F10" s="42">
        <v>1111113</v>
      </c>
      <c r="G10" s="42">
        <v>3</v>
      </c>
      <c r="H10" s="42" t="s">
        <v>65</v>
      </c>
      <c r="I10" s="43">
        <v>46175</v>
      </c>
    </row>
    <row r="11" spans="1:9">
      <c r="A11" t="s">
        <v>30</v>
      </c>
      <c r="B11" s="44" t="s">
        <v>31</v>
      </c>
      <c r="C11" s="48" t="s">
        <v>71</v>
      </c>
      <c r="D11" s="40">
        <v>11</v>
      </c>
      <c r="E11" s="40">
        <v>12</v>
      </c>
      <c r="F11" s="40">
        <v>1111111</v>
      </c>
      <c r="G11" s="40">
        <v>1</v>
      </c>
      <c r="H11" s="40" t="s">
        <v>54</v>
      </c>
      <c r="I11" s="41">
        <v>46173</v>
      </c>
    </row>
    <row r="12" spans="1:9">
      <c r="A12" t="s">
        <v>30</v>
      </c>
      <c r="B12" s="44" t="s">
        <v>31</v>
      </c>
      <c r="C12" s="40" t="s">
        <v>69</v>
      </c>
      <c r="D12" s="40">
        <v>13</v>
      </c>
      <c r="E12" s="40">
        <v>14</v>
      </c>
      <c r="F12" s="40">
        <v>1111112</v>
      </c>
      <c r="G12" s="40">
        <v>2</v>
      </c>
      <c r="H12" s="40" t="s">
        <v>54</v>
      </c>
      <c r="I12" s="41">
        <v>46174</v>
      </c>
    </row>
    <row r="13" spans="1:9">
      <c r="A13" t="s">
        <v>30</v>
      </c>
      <c r="B13" s="44" t="s">
        <v>31</v>
      </c>
      <c r="C13" s="42" t="s">
        <v>70</v>
      </c>
      <c r="D13" s="42">
        <v>15</v>
      </c>
      <c r="E13" s="42">
        <v>16</v>
      </c>
      <c r="F13" s="42">
        <v>1111113</v>
      </c>
      <c r="G13" s="42">
        <v>3</v>
      </c>
      <c r="H13" s="42" t="s">
        <v>65</v>
      </c>
      <c r="I13" s="43">
        <v>46175</v>
      </c>
    </row>
  </sheetData>
  <phoneticPr fontId="3"/>
  <pageMargins left="0.7" right="0.7" top="0.75" bottom="0.75" header="0.3" footer="0.3"/>
  <drawing r:id="rId1"/>
  <legacy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8F45B-F5E0-4C47-A482-6A1091138EBD}">
  <dimension ref="A1:I13"/>
  <sheetViews>
    <sheetView workbookViewId="0">
      <selection activeCell="D19" sqref="D19"/>
    </sheetView>
  </sheetViews>
  <sheetFormatPr defaultRowHeight="18"/>
  <cols>
    <col min="1" max="1" width="20.3984375" customWidth="1"/>
    <col min="2" max="2" width="20" bestFit="1" customWidth="1"/>
    <col min="3" max="3" width="15" customWidth="1"/>
    <col min="4" max="4" width="21.69921875" customWidth="1"/>
    <col min="5" max="5" width="10.8984375" customWidth="1"/>
    <col min="6" max="6" width="20.3984375" customWidth="1"/>
    <col min="7" max="7" width="30.5" customWidth="1"/>
    <col min="9" max="9" width="14.09765625" bestFit="1" customWidth="1"/>
  </cols>
  <sheetData>
    <row r="1" spans="1:9">
      <c r="A1" t="s">
        <v>20</v>
      </c>
      <c r="B1" t="s">
        <v>72</v>
      </c>
      <c r="C1" s="40" t="s">
        <v>62</v>
      </c>
      <c r="D1" s="40" t="s">
        <v>53</v>
      </c>
      <c r="E1" s="40" t="s">
        <v>17</v>
      </c>
      <c r="F1" s="40" t="s">
        <v>14</v>
      </c>
      <c r="G1" s="40" t="s">
        <v>15</v>
      </c>
      <c r="H1" s="40" t="s">
        <v>18</v>
      </c>
      <c r="I1" s="41" t="s">
        <v>16</v>
      </c>
    </row>
    <row r="2" spans="1:9">
      <c r="A2" t="s">
        <v>28</v>
      </c>
      <c r="B2" s="44" t="s">
        <v>29</v>
      </c>
      <c r="C2" s="45" t="s">
        <v>67</v>
      </c>
      <c r="D2" s="40">
        <v>11</v>
      </c>
      <c r="E2" s="40">
        <v>12</v>
      </c>
      <c r="F2" s="40">
        <v>1111111</v>
      </c>
      <c r="G2" s="40">
        <v>1</v>
      </c>
      <c r="H2" s="40" t="s">
        <v>54</v>
      </c>
      <c r="I2" s="41">
        <v>46173</v>
      </c>
    </row>
    <row r="3" spans="1:9">
      <c r="A3" t="s">
        <v>28</v>
      </c>
      <c r="B3" s="44" t="s">
        <v>29</v>
      </c>
      <c r="C3" s="40" t="s">
        <v>63</v>
      </c>
      <c r="D3" s="40">
        <v>13</v>
      </c>
      <c r="E3" s="40">
        <v>14</v>
      </c>
      <c r="F3" s="40">
        <v>1111112</v>
      </c>
      <c r="G3" s="40">
        <v>2</v>
      </c>
      <c r="H3" s="40" t="s">
        <v>54</v>
      </c>
      <c r="I3" s="41">
        <v>46174</v>
      </c>
    </row>
    <row r="4" spans="1:9">
      <c r="A4" t="s">
        <v>28</v>
      </c>
      <c r="B4" s="44" t="s">
        <v>29</v>
      </c>
      <c r="C4" s="42" t="s">
        <v>64</v>
      </c>
      <c r="D4" s="42">
        <v>15</v>
      </c>
      <c r="E4" s="42">
        <v>16</v>
      </c>
      <c r="F4" s="42">
        <v>1111113</v>
      </c>
      <c r="G4" s="42">
        <v>3</v>
      </c>
      <c r="H4" s="42" t="s">
        <v>65</v>
      </c>
      <c r="I4" s="43">
        <v>46175</v>
      </c>
    </row>
    <row r="5" spans="1:9">
      <c r="A5" t="s">
        <v>28</v>
      </c>
      <c r="B5" s="44" t="s">
        <v>31</v>
      </c>
      <c r="C5" s="46" t="s">
        <v>68</v>
      </c>
      <c r="D5" s="40">
        <v>11</v>
      </c>
      <c r="E5" s="40">
        <v>12</v>
      </c>
      <c r="F5" s="40">
        <v>1111111</v>
      </c>
      <c r="G5" s="40">
        <v>1</v>
      </c>
      <c r="H5" s="40" t="s">
        <v>54</v>
      </c>
      <c r="I5" s="41">
        <v>46173</v>
      </c>
    </row>
    <row r="6" spans="1:9">
      <c r="A6" t="s">
        <v>28</v>
      </c>
      <c r="B6" s="44" t="s">
        <v>31</v>
      </c>
      <c r="C6" s="40" t="s">
        <v>69</v>
      </c>
      <c r="D6" s="40">
        <v>13</v>
      </c>
      <c r="E6" s="40">
        <v>14</v>
      </c>
      <c r="F6" s="40">
        <v>1111112</v>
      </c>
      <c r="G6" s="40">
        <v>2</v>
      </c>
      <c r="H6" s="40" t="s">
        <v>54</v>
      </c>
      <c r="I6" s="41">
        <v>46174</v>
      </c>
    </row>
    <row r="7" spans="1:9">
      <c r="A7" t="s">
        <v>28</v>
      </c>
      <c r="B7" s="44" t="s">
        <v>31</v>
      </c>
      <c r="C7" s="42" t="s">
        <v>70</v>
      </c>
      <c r="D7" s="42">
        <v>15</v>
      </c>
      <c r="E7" s="42">
        <v>16</v>
      </c>
      <c r="F7" s="42">
        <v>1111113</v>
      </c>
      <c r="G7" s="42">
        <v>3</v>
      </c>
      <c r="H7" s="42" t="s">
        <v>65</v>
      </c>
      <c r="I7" s="43">
        <v>46175</v>
      </c>
    </row>
    <row r="8" spans="1:9">
      <c r="A8" t="s">
        <v>30</v>
      </c>
      <c r="B8" s="44" t="s">
        <v>29</v>
      </c>
      <c r="C8" s="47" t="s">
        <v>71</v>
      </c>
      <c r="D8" s="40">
        <v>11</v>
      </c>
      <c r="E8" s="40">
        <v>12</v>
      </c>
      <c r="F8" s="40">
        <v>1111111</v>
      </c>
      <c r="G8" s="40">
        <v>1</v>
      </c>
      <c r="H8" s="40" t="s">
        <v>54</v>
      </c>
      <c r="I8" s="41">
        <v>46173</v>
      </c>
    </row>
    <row r="9" spans="1:9">
      <c r="A9" t="s">
        <v>30</v>
      </c>
      <c r="B9" s="44" t="s">
        <v>29</v>
      </c>
      <c r="C9" s="40" t="s">
        <v>63</v>
      </c>
      <c r="D9" s="40">
        <v>13</v>
      </c>
      <c r="E9" s="40">
        <v>14</v>
      </c>
      <c r="F9" s="40">
        <v>1111112</v>
      </c>
      <c r="G9" s="40">
        <v>2</v>
      </c>
      <c r="H9" s="40" t="s">
        <v>54</v>
      </c>
      <c r="I9" s="41">
        <v>46174</v>
      </c>
    </row>
    <row r="10" spans="1:9">
      <c r="A10" t="s">
        <v>30</v>
      </c>
      <c r="B10" s="44" t="s">
        <v>29</v>
      </c>
      <c r="C10" s="42" t="s">
        <v>64</v>
      </c>
      <c r="D10" s="42">
        <v>15</v>
      </c>
      <c r="E10" s="42">
        <v>16</v>
      </c>
      <c r="F10" s="42">
        <v>1111113</v>
      </c>
      <c r="G10" s="42">
        <v>3</v>
      </c>
      <c r="H10" s="42" t="s">
        <v>65</v>
      </c>
      <c r="I10" s="43">
        <v>46175</v>
      </c>
    </row>
    <row r="11" spans="1:9">
      <c r="A11" t="s">
        <v>30</v>
      </c>
      <c r="B11" s="44" t="s">
        <v>31</v>
      </c>
      <c r="C11" s="48" t="s">
        <v>71</v>
      </c>
      <c r="D11" s="40">
        <v>11</v>
      </c>
      <c r="E11" s="40">
        <v>12</v>
      </c>
      <c r="F11" s="40">
        <v>1111111</v>
      </c>
      <c r="G11" s="40">
        <v>1</v>
      </c>
      <c r="H11" s="40" t="s">
        <v>54</v>
      </c>
      <c r="I11" s="41">
        <v>46173</v>
      </c>
    </row>
    <row r="12" spans="1:9">
      <c r="A12" t="s">
        <v>30</v>
      </c>
      <c r="B12" s="44" t="s">
        <v>31</v>
      </c>
      <c r="C12" s="40" t="s">
        <v>69</v>
      </c>
      <c r="D12" s="40">
        <v>13</v>
      </c>
      <c r="E12" s="40">
        <v>14</v>
      </c>
      <c r="F12" s="40">
        <v>1111112</v>
      </c>
      <c r="G12" s="40">
        <v>2</v>
      </c>
      <c r="H12" s="40" t="s">
        <v>54</v>
      </c>
      <c r="I12" s="41">
        <v>46174</v>
      </c>
    </row>
    <row r="13" spans="1:9">
      <c r="A13" t="s">
        <v>30</v>
      </c>
      <c r="B13" s="44" t="s">
        <v>31</v>
      </c>
      <c r="C13" s="42" t="s">
        <v>70</v>
      </c>
      <c r="D13" s="42">
        <v>15</v>
      </c>
      <c r="E13" s="42">
        <v>16</v>
      </c>
      <c r="F13" s="42">
        <v>1111113</v>
      </c>
      <c r="G13" s="42">
        <v>3</v>
      </c>
      <c r="H13" s="42" t="s">
        <v>65</v>
      </c>
      <c r="I13" s="43">
        <v>46175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C605F-1E3E-4730-8285-C4BB126BA211}">
  <dimension ref="A1:B7"/>
  <sheetViews>
    <sheetView workbookViewId="0">
      <selection activeCell="G19" sqref="G19"/>
    </sheetView>
  </sheetViews>
  <sheetFormatPr defaultRowHeight="18"/>
  <cols>
    <col min="2" max="2" width="20" bestFit="1" customWidth="1"/>
  </cols>
  <sheetData>
    <row r="1" spans="1:2">
      <c r="A1" s="4" t="s">
        <v>20</v>
      </c>
      <c r="B1" s="4" t="s">
        <v>30</v>
      </c>
    </row>
    <row r="2" spans="1:2">
      <c r="A2" s="4" t="s">
        <v>72</v>
      </c>
      <c r="B2" s="4" t="s">
        <v>29</v>
      </c>
    </row>
    <row r="5" spans="1:2">
      <c r="A5" t="str" cm="1">
        <f t="array" ref="A5:A7">_xlfn.ANCHORARRAY(作業用!$A$1)</f>
        <v>部屋2</v>
      </c>
    </row>
    <row r="6" spans="1:2">
      <c r="A6" t="str">
        <v>スペアナ</v>
      </c>
    </row>
    <row r="7" spans="1:2">
      <c r="A7" t="str">
        <v>ラインレシーバ</v>
      </c>
    </row>
  </sheetData>
  <phoneticPr fontId="3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1BCFF17-7058-4FF0-8192-DF800FC43630}">
          <x14:formula1>
            <xm:f>master4!$A$2:$A$13</xm:f>
          </x14:formula1>
          <xm:sqref>B1</xm:sqref>
        </x14:dataValidation>
        <x14:dataValidation type="list" allowBlank="1" showInputMessage="1" showErrorMessage="1" xr:uid="{F912E627-FA01-4ED8-9377-09766966991F}">
          <x14:formula1>
            <xm:f>master4!$B$2:$B$13</xm:f>
          </x14:formula1>
          <xm:sqref>B2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57C68-6CD3-4455-ABFD-FB6843E9F4CA}">
  <dimension ref="A1:G14"/>
  <sheetViews>
    <sheetView workbookViewId="0">
      <selection activeCell="F14" sqref="F14"/>
    </sheetView>
  </sheetViews>
  <sheetFormatPr defaultRowHeight="18"/>
  <cols>
    <col min="1" max="1" width="34.5" customWidth="1"/>
    <col min="7" max="7" width="29.59765625" bestFit="1" customWidth="1"/>
  </cols>
  <sheetData>
    <row r="1" spans="1:7">
      <c r="A1" t="str" cm="1">
        <f t="array" ref="A1:A3">_xlfn._xlws.FILTER(master4!C:C, (master4!A:A=報告書!$B$1) * (master4!B:B=報告書!$B$2), "該当なし")</f>
        <v>部屋2</v>
      </c>
      <c r="B1" t="str">
        <f>IFERROR(VLOOKUP($A1, master!$A:$H, 2, FALSE), "")</f>
        <v/>
      </c>
    </row>
    <row r="2" spans="1:7">
      <c r="A2" t="str">
        <v>スペアナ</v>
      </c>
      <c r="B2">
        <f>IFERROR(VLOOKUP($A2, master!$A:$H, 2, FALSE), "")</f>
        <v>13</v>
      </c>
      <c r="C2">
        <f>IFERROR(VLOOKUP($A2, master!$A:$H, 3, FALSE), "")</f>
        <v>14</v>
      </c>
      <c r="D2">
        <f>IFERROR(VLOOKUP($A2, master!$A:$H, 5, FALSE), "")</f>
        <v>2</v>
      </c>
      <c r="E2" t="str">
        <f>IFERROR(VLOOKUP($A2, master!$A:$H, 6, FALSE), "")</f>
        <v>モビエレ</v>
      </c>
      <c r="F2">
        <f>IFERROR(VLOOKUP($A2, master!$A:$H, 7, FALSE), "")</f>
        <v>46174</v>
      </c>
      <c r="G2" t="str">
        <f>IFERROR(VLOOKUP($A2, master!$A:$H, 8, FALSE), "")</f>
        <v>2026年5月10日～2026年5月21日</v>
      </c>
    </row>
    <row r="3" spans="1:7">
      <c r="A3" t="str">
        <v>ラインレシーバ</v>
      </c>
      <c r="B3">
        <f>IFERROR(VLOOKUP($A3, master!$A:$H, 2, FALSE), "")</f>
        <v>15</v>
      </c>
      <c r="C3">
        <f>IFERROR(VLOOKUP($A3, master!$A:$H, 3, FALSE), "")</f>
        <v>16</v>
      </c>
      <c r="D3">
        <f>IFERROR(VLOOKUP($A3, master!$A:$H, 5, FALSE), "")</f>
        <v>3</v>
      </c>
      <c r="E3" t="str">
        <f>IFERROR(VLOOKUP($A3, master!$A:$H, 6, FALSE), "")</f>
        <v>モビエレ</v>
      </c>
      <c r="F3">
        <f>IFERROR(VLOOKUP($A3, master!$A:$H, 7, FALSE), "")</f>
        <v>46175</v>
      </c>
      <c r="G3" t="str">
        <f>IFERROR(VLOOKUP($A3, master!$A:$H, 8, FALSE), "")</f>
        <v>2026年5月10日～2026年5月22日</v>
      </c>
    </row>
    <row r="12" spans="1:7">
      <c r="A12" t="str" cm="1">
        <f t="array" ref="A12:A14">_xlfn._xlws.FILTER(master4!C:C, (master4!A:A=報告書!$B$1) * (master4!B:B=報告書!$B$2), "該当なし")</f>
        <v>部屋2</v>
      </c>
    </row>
    <row r="13" spans="1:7">
      <c r="A13" t="str">
        <v>スペアナ</v>
      </c>
      <c r="B13" t="str">
        <f>IFERROR(VLOOKUP($A13, master4!$A:$H, 4, FALSE), "")</f>
        <v/>
      </c>
      <c r="C13">
        <f>IFERROR(VLOOKUP($A13, master!$A:$H, 3, FALSE), "")</f>
        <v>14</v>
      </c>
      <c r="D13">
        <f>IFERROR(VLOOKUP($A13, master!$A:$H, 5, FALSE), "")</f>
        <v>2</v>
      </c>
      <c r="E13" t="str">
        <f>IFERROR(VLOOKUP($A13, master!$A:$H, 6, FALSE), "")</f>
        <v>モビエレ</v>
      </c>
      <c r="F13">
        <f>IFERROR(VLOOKUP($A13, master!$A:$H, 7, FALSE), "")</f>
        <v>46174</v>
      </c>
      <c r="G13" t="str">
        <f>IFERROR(VLOOKUP($A13, master!$A:$H, 8, FALSE), "")</f>
        <v>2026年5月10日～2026年5月21日</v>
      </c>
    </row>
    <row r="14" spans="1:7">
      <c r="A14" t="str">
        <v>ラインレシーバ</v>
      </c>
      <c r="B14">
        <f>IFERROR(VLOOKUP($A14, master!$A:$H, 2, FALSE), "")</f>
        <v>15</v>
      </c>
      <c r="C14">
        <f>IFERROR(VLOOKUP($A14, master!$A:$H, 3, FALSE), "")</f>
        <v>16</v>
      </c>
      <c r="D14">
        <f>IFERROR(VLOOKUP($A14, master!$A:$H, 5, FALSE), "")</f>
        <v>3</v>
      </c>
      <c r="E14" t="str">
        <f>IFERROR(VLOOKUP($A14, master!$A:$H, 6, FALSE), "")</f>
        <v>モビエレ</v>
      </c>
      <c r="F14">
        <f>IFERROR(VLOOKUP($A14, master!$A:$H, 7, FALSE), "")</f>
        <v>46175</v>
      </c>
      <c r="G14" t="str">
        <f>IFERROR(VLOOKUP($A14, master!$A:$H, 8, FALSE), "")</f>
        <v>2026年5月10日～2026年5月22日</v>
      </c>
    </row>
  </sheetData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8C1CC0-58CC-4E4A-B64F-E22362101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常設機器</vt:lpstr>
      <vt:lpstr>master</vt:lpstr>
      <vt:lpstr>master2</vt:lpstr>
      <vt:lpstr>master3</vt:lpstr>
      <vt:lpstr>Sheet3</vt:lpstr>
      <vt:lpstr>master4</vt:lpstr>
      <vt:lpstr>報告書</vt:lpstr>
      <vt:lpstr>作業用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野村葵</dc:creator>
  <cp:lastModifiedBy>野村　葵_富山</cp:lastModifiedBy>
  <dcterms:created xsi:type="dcterms:W3CDTF">2015-06-05T18:19:34Z</dcterms:created>
  <dcterms:modified xsi:type="dcterms:W3CDTF">2026-06-14T17:30:45Z</dcterms:modified>
</cp:coreProperties>
</file>