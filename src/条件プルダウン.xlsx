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usia\ドキュメント\myroom\EMC試験\AQC\"/>
    </mc:Choice>
  </mc:AlternateContent>
  <xr:revisionPtr revIDLastSave="0" documentId="13_ncr:1_{B29BAD33-A122-4085-B9DD-8AD1E72949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報告書" sheetId="2" r:id="rId1"/>
    <sheet name="master" sheetId="1" r:id="rId2"/>
    <sheet name="抽出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E18" i="2"/>
  <c r="C18" i="2"/>
  <c r="F17" i="2"/>
  <c r="E17" i="2"/>
  <c r="D17" i="2"/>
  <c r="C17" i="2"/>
  <c r="F16" i="2"/>
  <c r="E16" i="2"/>
  <c r="C16" i="2"/>
  <c r="F15" i="2"/>
  <c r="E15" i="2"/>
  <c r="D15" i="2"/>
  <c r="C15" i="2"/>
  <c r="E14" i="2"/>
  <c r="E13" i="2"/>
  <c r="D13" i="2"/>
  <c r="C14" i="2"/>
  <c r="C13" i="2"/>
  <c r="F13" i="2"/>
  <c r="F14" i="2"/>
  <c r="B49" i="2"/>
  <c r="B47" i="2"/>
  <c r="B45" i="2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2" i="3" a="1"/>
  <c r="C2" i="3" a="1"/>
  <c r="D2" i="3" a="1"/>
  <c r="E2" i="3" a="1"/>
  <c r="F2" i="3" a="1"/>
  <c r="G2" i="3" a="1"/>
  <c r="A2" i="3" a="1"/>
  <c r="B17" i="2" l="1"/>
  <c r="B15" i="2"/>
  <c r="B1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<sst xmlns="http://schemas.openxmlformats.org/spreadsheetml/2006/main" count="48" uniqueCount="29">
  <si>
    <t>部屋</t>
  </si>
  <si>
    <t>名称</t>
  </si>
  <si>
    <t>メーカ</t>
  </si>
  <si>
    <t>型式</t>
  </si>
  <si>
    <t>全社連番</t>
  </si>
  <si>
    <t>管理No.</t>
  </si>
  <si>
    <t>管理部署</t>
  </si>
  <si>
    <t>有効期限</t>
  </si>
  <si>
    <t>電波暗室1</t>
    <rPh sb="0" eb="4">
      <t>デンパアンシツ</t>
    </rPh>
    <phoneticPr fontId="1"/>
  </si>
  <si>
    <r>
      <rPr>
        <sz val="11"/>
        <color theme="1"/>
        <rFont val="ＭＳ ゴシック"/>
        <family val="3"/>
        <charset val="128"/>
      </rPr>
      <t>部屋</t>
    </r>
    <r>
      <rPr>
        <sz val="11"/>
        <color theme="1"/>
        <rFont val="Arial"/>
        <family val="2"/>
      </rPr>
      <t>1</t>
    </r>
    <rPh sb="0" eb="2">
      <t>ヘヤ</t>
    </rPh>
    <phoneticPr fontId="1"/>
  </si>
  <si>
    <t>モビエレ</t>
  </si>
  <si>
    <t>電波暗室2</t>
    <rPh sb="0" eb="4">
      <t>デンパアンシツ</t>
    </rPh>
    <phoneticPr fontId="1"/>
  </si>
  <si>
    <t>部屋2</t>
    <rPh sb="0" eb="2">
      <t>ヘヤ</t>
    </rPh>
    <phoneticPr fontId="1"/>
  </si>
  <si>
    <t>スペアナ</t>
  </si>
  <si>
    <t>ラインレシーバ</t>
  </si>
  <si>
    <t>報告書</t>
    <rPh sb="0" eb="3">
      <t>ホウコクショ</t>
    </rPh>
    <phoneticPr fontId="2"/>
  </si>
  <si>
    <t>試験・測定機器一覧</t>
    <rPh sb="0" eb="2">
      <t>シケン</t>
    </rPh>
    <rPh sb="3" eb="9">
      <t>ソクテイキキイチラン</t>
    </rPh>
    <phoneticPr fontId="2"/>
  </si>
  <si>
    <t>&lt;常設機器&gt;</t>
    <rPh sb="1" eb="3">
      <t>ジョウセツ</t>
    </rPh>
    <rPh sb="3" eb="5">
      <t>キキ</t>
    </rPh>
    <phoneticPr fontId="2"/>
  </si>
  <si>
    <t>名称</t>
    <rPh sb="0" eb="2">
      <t>メイショウ</t>
    </rPh>
    <phoneticPr fontId="2"/>
  </si>
  <si>
    <t>メーカー</t>
    <phoneticPr fontId="2"/>
  </si>
  <si>
    <t>全社連番</t>
    <rPh sb="0" eb="4">
      <t>ゼンシャレンバン</t>
    </rPh>
    <phoneticPr fontId="2"/>
  </si>
  <si>
    <t>管理No.</t>
    <rPh sb="0" eb="2">
      <t>カンリ</t>
    </rPh>
    <phoneticPr fontId="2"/>
  </si>
  <si>
    <t>有効期限</t>
    <rPh sb="0" eb="4">
      <t>ユウコウキゲン</t>
    </rPh>
    <phoneticPr fontId="2"/>
  </si>
  <si>
    <t>型式</t>
    <rPh sb="0" eb="2">
      <t>カタシキ</t>
    </rPh>
    <phoneticPr fontId="2"/>
  </si>
  <si>
    <t>管理部署</t>
    <rPh sb="0" eb="4">
      <t>カンリブショ</t>
    </rPh>
    <phoneticPr fontId="2"/>
  </si>
  <si>
    <t>使用期間</t>
    <rPh sb="0" eb="4">
      <t>シヨウキカン</t>
    </rPh>
    <phoneticPr fontId="2"/>
  </si>
  <si>
    <t>使用環境</t>
    <rPh sb="0" eb="4">
      <t>シヨウカンキョウ</t>
    </rPh>
    <phoneticPr fontId="2"/>
  </si>
  <si>
    <t>試験名</t>
    <rPh sb="0" eb="3">
      <t>シケンメイ</t>
    </rPh>
    <phoneticPr fontId="2"/>
  </si>
  <si>
    <t>入力日時</t>
    <rPh sb="0" eb="4">
      <t>ニュウリョクニチジ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</si>
</sst>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>
    <font>
      <sz val="11"/>
      <color theme="1"/>
      <name val="Yu Gothic"/>
      <family val="2"/>
      <scheme val="minor"/>
    </font>
    <font>
      <b/>
      <sz val="15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ゴシック"/>
      <family val="3"/>
      <charset val="128"/>
    </font>
    <font>
      <b/>
      <sz val="11"/>
      <color theme="0"/>
      <name val="Yu Gothic"/>
      <family val="2"/>
      <scheme val="minor"/>
    </font>
    <font>
      <b/>
      <sz val="22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5" fillId="2" borderId="2" xfId="0" applyFont="1" applyFill="1" applyBorder="1"/>
    <xf numFmtId="176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5" fillId="2" borderId="3" xfId="0" applyNumberFormat="1" applyFont="1" applyFill="1" applyBorder="1"/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標準" xfId="0" builtinId="0"/>
  </cellStyles>
  <dxfs count="1">
    <dxf>
      <numFmt numFmtId="176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A9D70B-20B3-4888-97AD-7B4FE0731EC9}" name="T_常設機器一覧表" displayName="T_常設機器一覧表" ref="A1:H7" totalsRowShown="0">
  <autoFilter ref="A1:H7" xr:uid="{F2A9D70B-20B3-4888-97AD-7B4FE0731EC9}"/>
  <tableColumns count="8">
    <tableColumn id="1" xr3:uid="{A2BA82C3-78DA-4B0E-88A8-6A86B3083CCC}" name="部屋"/>
    <tableColumn id="2" xr3:uid="{B710324D-7AFE-425A-B1AF-A56E44CF1075}" name="名称"/>
    <tableColumn id="3" xr3:uid="{FDF21234-8D8F-4531-9447-1C7811270B58}" name="メーカ"/>
    <tableColumn id="4" xr3:uid="{A1580059-C3C9-45D6-8A76-E63594718881}" name="型式"/>
    <tableColumn id="5" xr3:uid="{46EF6F9A-846B-4B4F-A59A-0D04BF1E58A9}" name="全社連番"/>
    <tableColumn id="6" xr3:uid="{A4238AFD-A241-49CE-9FC6-5C7849D3E765}" name="管理No."/>
    <tableColumn id="7" xr3:uid="{5CF0736D-C1E3-4F0F-A5B3-7B39FF9B05A6}" name="管理部署"/>
    <tableColumn id="8" xr3:uid="{1221C6D5-063D-40F7-A934-19E93FF7EBC5}" name="有効期限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98B6-1242-4AF4-82FD-FA1211B67E28}">
  <dimension ref="B2:G50"/>
  <sheetViews>
    <sheetView tabSelected="1" workbookViewId="0">
      <pane ySplit="12" topLeftCell="A13" activePane="bottomLeft" state="frozen"/>
      <selection pane="bottomLeft" activeCell="E15" sqref="E15"/>
    </sheetView>
  </sheetViews>
  <sheetFormatPr defaultRowHeight="18"/>
  <cols>
    <col min="1" max="1" width="7" customWidth="1"/>
    <col min="2" max="6" width="25" customWidth="1"/>
    <col min="7" max="7" width="7.69921875" customWidth="1"/>
    <col min="8" max="8" width="25" customWidth="1"/>
  </cols>
  <sheetData>
    <row r="2" spans="2:7">
      <c r="B2" s="4" t="s">
        <v>15</v>
      </c>
      <c r="C2" s="4"/>
      <c r="D2" s="4"/>
      <c r="E2" s="4"/>
      <c r="F2" s="4"/>
      <c r="G2" s="4"/>
    </row>
    <row r="3" spans="2:7">
      <c r="B3" s="4"/>
      <c r="C3" s="4"/>
      <c r="D3" s="4"/>
      <c r="E3" s="4"/>
      <c r="F3" s="4"/>
      <c r="G3" s="4"/>
    </row>
    <row r="4" spans="2:7">
      <c r="B4" s="5" t="s">
        <v>16</v>
      </c>
      <c r="C4" s="5"/>
      <c r="D4" s="5"/>
      <c r="E4" s="5"/>
      <c r="F4" s="5"/>
      <c r="G4" s="5"/>
    </row>
    <row r="6" spans="2:7">
      <c r="B6" s="1" t="s">
        <v>26</v>
      </c>
      <c r="C6" s="1" t="s">
        <v>27</v>
      </c>
      <c r="F6" s="1" t="s">
        <v>28</v>
      </c>
    </row>
    <row r="7" spans="2:7">
      <c r="B7" s="1" t="s">
        <v>8</v>
      </c>
      <c r="C7" s="1"/>
      <c r="F7" s="24">
        <v>46187</v>
      </c>
    </row>
    <row r="10" spans="2:7" ht="18.600000000000001" thickBot="1">
      <c r="B10" t="s">
        <v>17</v>
      </c>
    </row>
    <row r="11" spans="2:7">
      <c r="B11" s="9" t="s">
        <v>18</v>
      </c>
      <c r="C11" s="10" t="s">
        <v>19</v>
      </c>
      <c r="D11" s="11" t="s">
        <v>20</v>
      </c>
      <c r="E11" s="10" t="s">
        <v>21</v>
      </c>
      <c r="F11" s="12" t="s">
        <v>22</v>
      </c>
    </row>
    <row r="12" spans="2:7">
      <c r="B12" s="13"/>
      <c r="C12" s="7" t="s">
        <v>23</v>
      </c>
      <c r="D12" s="6"/>
      <c r="E12" s="7" t="s">
        <v>24</v>
      </c>
      <c r="F12" s="14" t="s">
        <v>25</v>
      </c>
    </row>
    <row r="13" spans="2:7">
      <c r="B13" s="15" t="str">
        <f>IF(抽出!A2&lt;&gt;"", 抽出!A2, "")</f>
        <v>部屋1</v>
      </c>
      <c r="C13" s="19">
        <f>IFERROR(VLOOKUP($B13, master!$B:$H, 2, FALSE), "")</f>
        <v>11</v>
      </c>
      <c r="D13" s="18">
        <f>IFERROR(VLOOKUP($B13, master!$B:$H, 4, FALSE), "")</f>
        <v>1111111</v>
      </c>
      <c r="E13" s="19">
        <f>IFERROR(VLOOKUP($B13, master!$B:$H, 5, FALSE), "")</f>
        <v>1</v>
      </c>
      <c r="F13" s="22">
        <f>IFERROR(VLOOKUP($B13, master!$B:$H, 7, FALSE), "")</f>
        <v>46173</v>
      </c>
    </row>
    <row r="14" spans="2:7">
      <c r="B14" s="15"/>
      <c r="C14" s="19">
        <f>IFERROR(VLOOKUP($B13, master!$B:$H, 3, FALSE), "")</f>
        <v>12</v>
      </c>
      <c r="D14" s="18"/>
      <c r="E14" s="19" t="str">
        <f>IFERROR(VLOOKUP($B13, master!$B:$H, 6, FALSE), "")</f>
        <v>モビエレ</v>
      </c>
      <c r="F14" s="22">
        <f>IF($F$7&lt;&gt;"", $F$7, "")</f>
        <v>46187</v>
      </c>
    </row>
    <row r="15" spans="2:7">
      <c r="B15" s="15" t="str">
        <f>IF(抽出!A3&lt;&gt;"", 抽出!A3, "")</f>
        <v>スペアナ</v>
      </c>
      <c r="C15" s="19">
        <f>IFERROR(VLOOKUP($B15, master!$B:$H, 2, FALSE), "")</f>
        <v>13</v>
      </c>
      <c r="D15" s="18">
        <f>IFERROR(VLOOKUP($B15, master!$B:$H, 4, FALSE), "")</f>
        <v>1111112</v>
      </c>
      <c r="E15" s="19">
        <f>IFERROR(VLOOKUP($B15, master!$B:$H, 5, FALSE), "")</f>
        <v>2</v>
      </c>
      <c r="F15" s="22">
        <f>IFERROR(VLOOKUP($B15, master!$B:$H, 7, FALSE), "")</f>
        <v>46174</v>
      </c>
    </row>
    <row r="16" spans="2:7">
      <c r="B16" s="15"/>
      <c r="C16" s="19">
        <f>IFERROR(VLOOKUP($B15, master!$B:$H, 3, FALSE), "")</f>
        <v>14</v>
      </c>
      <c r="D16" s="18"/>
      <c r="E16" s="19" t="str">
        <f>IFERROR(VLOOKUP($B15, master!$B:$H, 6, FALSE), "")</f>
        <v>モビエレ</v>
      </c>
      <c r="F16" s="22">
        <f>IF($F$7&lt;&gt;"", $F$7, "")</f>
        <v>46187</v>
      </c>
    </row>
    <row r="17" spans="2:6">
      <c r="B17" s="15" t="str">
        <f>IF(抽出!A4&lt;&gt;"", 抽出!A4, "")</f>
        <v>ラインレシーバ</v>
      </c>
      <c r="C17" s="19">
        <f>IFERROR(VLOOKUP($B17, master!$B:$H, 2, FALSE), "")</f>
        <v>15</v>
      </c>
      <c r="D17" s="18">
        <f>IFERROR(VLOOKUP($B17, master!$B:$H, 4, FALSE), "")</f>
        <v>1111113</v>
      </c>
      <c r="E17" s="19">
        <f>IFERROR(VLOOKUP($B17, master!$B:$H, 5, FALSE), "")</f>
        <v>3</v>
      </c>
      <c r="F17" s="22">
        <f>IFERROR(VLOOKUP($B17, master!$B:$H, 7, FALSE), "")</f>
        <v>46175</v>
      </c>
    </row>
    <row r="18" spans="2:6">
      <c r="B18" s="15"/>
      <c r="C18" s="19">
        <f>IFERROR(VLOOKUP($B17, master!$B:$H, 3, FALSE), "")</f>
        <v>16</v>
      </c>
      <c r="D18" s="18"/>
      <c r="E18" s="19" t="str">
        <f>IFERROR(VLOOKUP($B17, master!$B:$H, 6, FALSE), "")</f>
        <v>モビエレ</v>
      </c>
      <c r="F18" s="22">
        <f>IF($F$7&lt;&gt;"", $F$7, "")</f>
        <v>46187</v>
      </c>
    </row>
    <row r="19" spans="2:6">
      <c r="B19" s="16" t="str">
        <f>IF(抽出!A8&lt;&gt;"", 抽出!A8, "")</f>
        <v/>
      </c>
      <c r="C19" s="19"/>
      <c r="D19" s="18"/>
      <c r="E19" s="19"/>
      <c r="F19" s="22"/>
    </row>
    <row r="20" spans="2:6">
      <c r="B20" s="17"/>
      <c r="C20" s="19"/>
      <c r="D20" s="18"/>
      <c r="E20" s="19"/>
      <c r="F20" s="22"/>
    </row>
    <row r="21" spans="2:6">
      <c r="B21" s="16" t="str">
        <f>IF(抽出!A9&lt;&gt;"", 抽出!A9, "")</f>
        <v/>
      </c>
      <c r="C21" s="19"/>
      <c r="D21" s="18"/>
      <c r="E21" s="19"/>
      <c r="F21" s="22"/>
    </row>
    <row r="22" spans="2:6">
      <c r="B22" s="17"/>
      <c r="C22" s="19"/>
      <c r="D22" s="18"/>
      <c r="E22" s="19"/>
      <c r="F22" s="22"/>
    </row>
    <row r="23" spans="2:6">
      <c r="B23" s="16" t="str">
        <f>IF(抽出!A10&lt;&gt;"", 抽出!A10, "")</f>
        <v/>
      </c>
      <c r="C23" s="19"/>
      <c r="D23" s="18"/>
      <c r="E23" s="19"/>
      <c r="F23" s="22"/>
    </row>
    <row r="24" spans="2:6">
      <c r="B24" s="17"/>
      <c r="C24" s="19"/>
      <c r="D24" s="18"/>
      <c r="E24" s="19"/>
      <c r="F24" s="22"/>
    </row>
    <row r="25" spans="2:6">
      <c r="B25" s="16" t="str">
        <f>IF(抽出!A14&lt;&gt;"", 抽出!A14, "")</f>
        <v/>
      </c>
      <c r="C25" s="19"/>
      <c r="D25" s="18"/>
      <c r="E25" s="19"/>
      <c r="F25" s="22"/>
    </row>
    <row r="26" spans="2:6">
      <c r="B26" s="17"/>
      <c r="C26" s="19"/>
      <c r="D26" s="18"/>
      <c r="E26" s="19"/>
      <c r="F26" s="22"/>
    </row>
    <row r="27" spans="2:6">
      <c r="B27" s="16" t="str">
        <f>IF(抽出!A15&lt;&gt;"", 抽出!A15, "")</f>
        <v/>
      </c>
      <c r="C27" s="19"/>
      <c r="D27" s="18"/>
      <c r="E27" s="19"/>
      <c r="F27" s="22"/>
    </row>
    <row r="28" spans="2:6">
      <c r="B28" s="17"/>
      <c r="C28" s="19"/>
      <c r="D28" s="18"/>
      <c r="E28" s="19"/>
      <c r="F28" s="22"/>
    </row>
    <row r="29" spans="2:6">
      <c r="B29" s="16" t="str">
        <f>IF(抽出!A16&lt;&gt;"", 抽出!A16, "")</f>
        <v/>
      </c>
      <c r="C29" s="19"/>
      <c r="D29" s="18"/>
      <c r="E29" s="19"/>
      <c r="F29" s="22"/>
    </row>
    <row r="30" spans="2:6">
      <c r="B30" s="17"/>
      <c r="C30" s="19"/>
      <c r="D30" s="18"/>
      <c r="E30" s="19"/>
      <c r="F30" s="22"/>
    </row>
    <row r="31" spans="2:6">
      <c r="B31" s="16" t="str">
        <f>IF(抽出!A20&lt;&gt;"", 抽出!A20, "")</f>
        <v/>
      </c>
      <c r="C31" s="19"/>
      <c r="D31" s="18"/>
      <c r="E31" s="19"/>
      <c r="F31" s="22"/>
    </row>
    <row r="32" spans="2:6">
      <c r="B32" s="17"/>
      <c r="C32" s="19"/>
      <c r="D32" s="18"/>
      <c r="E32" s="19"/>
      <c r="F32" s="22"/>
    </row>
    <row r="33" spans="2:6">
      <c r="B33" s="16" t="str">
        <f>IF(抽出!A21&lt;&gt;"", 抽出!A21, "")</f>
        <v/>
      </c>
      <c r="C33" s="19"/>
      <c r="D33" s="18"/>
      <c r="E33" s="19"/>
      <c r="F33" s="22"/>
    </row>
    <row r="34" spans="2:6">
      <c r="B34" s="17"/>
      <c r="C34" s="19"/>
      <c r="D34" s="18"/>
      <c r="E34" s="19"/>
      <c r="F34" s="22"/>
    </row>
    <row r="35" spans="2:6">
      <c r="B35" s="16" t="str">
        <f>IF(抽出!A22&lt;&gt;"", 抽出!A22, "")</f>
        <v/>
      </c>
      <c r="C35" s="19"/>
      <c r="D35" s="18"/>
      <c r="E35" s="19"/>
      <c r="F35" s="22"/>
    </row>
    <row r="36" spans="2:6">
      <c r="B36" s="17"/>
      <c r="C36" s="19"/>
      <c r="D36" s="18"/>
      <c r="E36" s="19"/>
      <c r="F36" s="22"/>
    </row>
    <row r="37" spans="2:6">
      <c r="B37" s="16" t="str">
        <f>IF(抽出!A26&lt;&gt;"", 抽出!A26, "")</f>
        <v/>
      </c>
      <c r="C37" s="19"/>
      <c r="D37" s="18"/>
      <c r="E37" s="19"/>
      <c r="F37" s="22"/>
    </row>
    <row r="38" spans="2:6">
      <c r="B38" s="17"/>
      <c r="C38" s="19"/>
      <c r="D38" s="18"/>
      <c r="E38" s="19"/>
      <c r="F38" s="22"/>
    </row>
    <row r="39" spans="2:6">
      <c r="B39" s="16" t="str">
        <f>IF(抽出!A27&lt;&gt;"", 抽出!A27, "")</f>
        <v/>
      </c>
      <c r="C39" s="19"/>
      <c r="D39" s="18"/>
      <c r="E39" s="19"/>
      <c r="F39" s="22"/>
    </row>
    <row r="40" spans="2:6">
      <c r="B40" s="17"/>
      <c r="C40" s="19"/>
      <c r="D40" s="18"/>
      <c r="E40" s="19"/>
      <c r="F40" s="22"/>
    </row>
    <row r="41" spans="2:6">
      <c r="B41" s="16" t="str">
        <f>IF(抽出!A28&lt;&gt;"", 抽出!A28, "")</f>
        <v/>
      </c>
      <c r="C41" s="19"/>
      <c r="D41" s="18"/>
      <c r="E41" s="19"/>
      <c r="F41" s="22"/>
    </row>
    <row r="42" spans="2:6">
      <c r="B42" s="17"/>
      <c r="C42" s="19"/>
      <c r="D42" s="18"/>
      <c r="E42" s="19"/>
      <c r="F42" s="22"/>
    </row>
    <row r="43" spans="2:6">
      <c r="B43" s="16" t="str">
        <f>IF(抽出!A32&lt;&gt;"", 抽出!A32, "")</f>
        <v/>
      </c>
      <c r="C43" s="19"/>
      <c r="D43" s="18"/>
      <c r="E43" s="19"/>
      <c r="F43" s="22"/>
    </row>
    <row r="44" spans="2:6">
      <c r="B44" s="17"/>
      <c r="C44" s="19"/>
      <c r="D44" s="18"/>
      <c r="E44" s="19"/>
      <c r="F44" s="22"/>
    </row>
    <row r="45" spans="2:6">
      <c r="B45" s="16" t="str">
        <f>IF(抽出!A33&lt;&gt;"", 抽出!A33, "")</f>
        <v/>
      </c>
      <c r="C45" s="19"/>
      <c r="D45" s="18"/>
      <c r="E45" s="19"/>
      <c r="F45" s="22"/>
    </row>
    <row r="46" spans="2:6">
      <c r="B46" s="17"/>
      <c r="C46" s="19"/>
      <c r="D46" s="18"/>
      <c r="E46" s="19"/>
      <c r="F46" s="22"/>
    </row>
    <row r="47" spans="2:6">
      <c r="B47" s="16" t="str">
        <f>IF(抽出!A34&lt;&gt;"", 抽出!A34, "")</f>
        <v/>
      </c>
      <c r="C47" s="19"/>
      <c r="D47" s="18"/>
      <c r="E47" s="19"/>
      <c r="F47" s="22"/>
    </row>
    <row r="48" spans="2:6">
      <c r="B48" s="17"/>
      <c r="C48" s="19"/>
      <c r="D48" s="18"/>
      <c r="E48" s="19"/>
      <c r="F48" s="22"/>
    </row>
    <row r="49" spans="2:6">
      <c r="B49" s="16" t="str">
        <f>IF(抽出!A38&lt;&gt;"", 抽出!A38, "")</f>
        <v/>
      </c>
      <c r="C49" s="19"/>
      <c r="D49" s="18"/>
      <c r="E49" s="19"/>
      <c r="F49" s="22"/>
    </row>
    <row r="50" spans="2:6" ht="18.600000000000001" thickBot="1">
      <c r="B50" s="17"/>
      <c r="C50" s="21"/>
      <c r="D50" s="20"/>
      <c r="E50" s="21"/>
      <c r="F50" s="23"/>
    </row>
  </sheetData>
  <mergeCells count="42">
    <mergeCell ref="B45:B46"/>
    <mergeCell ref="D45:D46"/>
    <mergeCell ref="B47:B48"/>
    <mergeCell ref="D47:D48"/>
    <mergeCell ref="B49:B50"/>
    <mergeCell ref="D49:D50"/>
    <mergeCell ref="B39:B40"/>
    <mergeCell ref="D39:D40"/>
    <mergeCell ref="B41:B42"/>
    <mergeCell ref="D41:D42"/>
    <mergeCell ref="B43:B44"/>
    <mergeCell ref="D43:D44"/>
    <mergeCell ref="B33:B34"/>
    <mergeCell ref="D33:D34"/>
    <mergeCell ref="B35:B36"/>
    <mergeCell ref="D35:D36"/>
    <mergeCell ref="B37:B38"/>
    <mergeCell ref="D37:D38"/>
    <mergeCell ref="B27:B28"/>
    <mergeCell ref="D27:D28"/>
    <mergeCell ref="B29:B30"/>
    <mergeCell ref="D29:D30"/>
    <mergeCell ref="B31:B32"/>
    <mergeCell ref="D31:D32"/>
    <mergeCell ref="B21:B22"/>
    <mergeCell ref="D21:D22"/>
    <mergeCell ref="B23:B24"/>
    <mergeCell ref="D23:D24"/>
    <mergeCell ref="B25:B26"/>
    <mergeCell ref="D25:D26"/>
    <mergeCell ref="B15:B16"/>
    <mergeCell ref="D15:D16"/>
    <mergeCell ref="B17:B18"/>
    <mergeCell ref="D17:D18"/>
    <mergeCell ref="B19:B20"/>
    <mergeCell ref="D19:D20"/>
    <mergeCell ref="B2:G3"/>
    <mergeCell ref="B4:G4"/>
    <mergeCell ref="B11:B12"/>
    <mergeCell ref="D11:D12"/>
    <mergeCell ref="B13:B14"/>
    <mergeCell ref="D13:D14"/>
  </mergeCells>
  <phoneticPr fontId="2"/>
  <dataValidations count="1">
    <dataValidation type="list" allowBlank="1" showInputMessage="1" showErrorMessage="1" sqref="B7" xr:uid="{E4D9AC56-4A2D-4F29-A575-5E75184E6991}">
      <formula1>INDIRECT("T_常設機器一覧表[部屋]")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A7" sqref="A7"/>
    </sheetView>
  </sheetViews>
  <sheetFormatPr defaultRowHeight="18"/>
  <cols>
    <col min="1" max="1" width="9.59765625" bestFit="1" customWidth="1"/>
    <col min="2" max="2" width="18.296875" bestFit="1" customWidth="1"/>
    <col min="3" max="3" width="8" customWidth="1"/>
    <col min="4" max="4" width="6.19921875" customWidth="1"/>
    <col min="5" max="5" width="9.796875" customWidth="1"/>
    <col min="6" max="6" width="9.19921875" customWidth="1"/>
    <col min="7" max="7" width="9.796875" customWidth="1"/>
    <col min="8" max="8" width="14.0976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11</v>
      </c>
      <c r="D2">
        <v>12</v>
      </c>
      <c r="E2">
        <v>1111111</v>
      </c>
      <c r="F2">
        <v>1</v>
      </c>
      <c r="G2" t="s">
        <v>10</v>
      </c>
      <c r="H2" s="3">
        <v>46173</v>
      </c>
    </row>
    <row r="3" spans="1:8">
      <c r="A3" t="s">
        <v>8</v>
      </c>
      <c r="B3" t="s">
        <v>13</v>
      </c>
      <c r="C3">
        <v>13</v>
      </c>
      <c r="D3">
        <v>14</v>
      </c>
      <c r="E3">
        <v>1111112</v>
      </c>
      <c r="F3">
        <v>2</v>
      </c>
      <c r="G3" t="s">
        <v>10</v>
      </c>
      <c r="H3" s="3">
        <v>46174</v>
      </c>
    </row>
    <row r="4" spans="1:8">
      <c r="A4" t="s">
        <v>8</v>
      </c>
      <c r="B4" t="s">
        <v>14</v>
      </c>
      <c r="C4">
        <v>15</v>
      </c>
      <c r="D4">
        <v>16</v>
      </c>
      <c r="E4">
        <v>1111113</v>
      </c>
      <c r="F4">
        <v>3</v>
      </c>
      <c r="G4" t="s">
        <v>10</v>
      </c>
      <c r="H4" s="3">
        <v>46175</v>
      </c>
    </row>
    <row r="5" spans="1:8">
      <c r="A5" t="s">
        <v>11</v>
      </c>
      <c r="B5" t="s">
        <v>12</v>
      </c>
      <c r="C5">
        <v>17</v>
      </c>
      <c r="D5">
        <v>18</v>
      </c>
      <c r="E5">
        <v>1111114</v>
      </c>
      <c r="F5">
        <v>4</v>
      </c>
      <c r="G5" t="s">
        <v>10</v>
      </c>
      <c r="H5" s="3">
        <v>46176</v>
      </c>
    </row>
    <row r="6" spans="1:8">
      <c r="A6" t="s">
        <v>11</v>
      </c>
      <c r="B6" t="s">
        <v>13</v>
      </c>
      <c r="C6">
        <v>19</v>
      </c>
      <c r="D6">
        <v>20</v>
      </c>
      <c r="E6">
        <v>1111115</v>
      </c>
      <c r="F6">
        <v>5</v>
      </c>
      <c r="G6" t="s">
        <v>10</v>
      </c>
      <c r="H6" s="3">
        <v>46177</v>
      </c>
    </row>
    <row r="7" spans="1:8">
      <c r="A7" t="s">
        <v>11</v>
      </c>
      <c r="B7" t="s">
        <v>14</v>
      </c>
      <c r="C7">
        <v>21</v>
      </c>
      <c r="D7">
        <v>22</v>
      </c>
      <c r="E7">
        <v>1111116</v>
      </c>
      <c r="F7">
        <v>6</v>
      </c>
      <c r="G7" t="s">
        <v>10</v>
      </c>
      <c r="H7" s="3">
        <v>46178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2E3C-5536-482B-BEAB-22625BECE884}">
  <dimension ref="A1:G4"/>
  <sheetViews>
    <sheetView workbookViewId="0">
      <selection activeCell="A2" sqref="A2"/>
    </sheetView>
  </sheetViews>
  <sheetFormatPr defaultRowHeight="18"/>
  <cols>
    <col min="1" max="1" width="23.59765625" customWidth="1"/>
    <col min="2" max="6" width="23.59765625" hidden="1" customWidth="1"/>
    <col min="7" max="7" width="23.59765625" style="3" hidden="1" customWidth="1"/>
  </cols>
  <sheetData>
    <row r="1" spans="1:7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8" t="s">
        <v>7</v>
      </c>
    </row>
    <row r="2" spans="1:7">
      <c r="A2" t="str" cm="1">
        <f t="array" ref="A2:A4">_xlfn._xlws.FILTER(master!B:B, (master!$A:$A=報告書!$B$7), "該当なし")</f>
        <v>部屋1</v>
      </c>
      <c r="B2" cm="1">
        <f t="array" ref="B2:B4">_xlfn._xlws.FILTER(master!C:C, (master!$A:$A=報告書!$B$7), "該当なし")</f>
        <v>11</v>
      </c>
      <c r="C2" cm="1">
        <f t="array" ref="C2:C4">_xlfn._xlws.FILTER(master!D:D, (master!$A:$A=報告書!$B$7), "該当なし")</f>
        <v>12</v>
      </c>
      <c r="D2" cm="1">
        <f t="array" ref="D2:D4">_xlfn._xlws.FILTER(master!E:E, (master!$A:$A=報告書!$B$7), "該当なし")</f>
        <v>1111111</v>
      </c>
      <c r="E2" cm="1">
        <f t="array" ref="E2:E4">_xlfn._xlws.FILTER(master!F:F, (master!$A:$A=報告書!$B$7), "該当なし")</f>
        <v>1</v>
      </c>
      <c r="F2" t="str" cm="1">
        <f t="array" ref="F2:F4">_xlfn._xlws.FILTER(master!G:G, (master!$A:$A=報告書!$B$7), "該当なし")</f>
        <v>モビエレ</v>
      </c>
      <c r="G2" cm="1">
        <f t="array" ref="G2:G4">_xlfn._xlws.FILTER(master!H:H, (master!$A:$A=報告書!$B$7), "該当なし")</f>
        <v>46173</v>
      </c>
    </row>
    <row r="3" spans="1:7">
      <c r="A3" t="str">
        <v>スペアナ</v>
      </c>
      <c r="B3">
        <v>13</v>
      </c>
      <c r="C3">
        <v>14</v>
      </c>
      <c r="D3">
        <v>1111112</v>
      </c>
      <c r="E3">
        <v>2</v>
      </c>
      <c r="F3" t="str">
        <v>モビエレ</v>
      </c>
      <c r="G3">
        <v>46174</v>
      </c>
    </row>
    <row r="4" spans="1:7">
      <c r="A4" t="str">
        <v>ラインレシーバ</v>
      </c>
      <c r="B4">
        <v>15</v>
      </c>
      <c r="C4">
        <v>16</v>
      </c>
      <c r="D4">
        <v>1111113</v>
      </c>
      <c r="E4">
        <v>3</v>
      </c>
      <c r="F4" t="str">
        <v>モビエレ</v>
      </c>
      <c r="G4">
        <v>46175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報告書</vt:lpstr>
      <vt:lpstr>master</vt:lpstr>
      <vt:lpstr>抽出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野村葵</dc:creator>
  <cp:lastModifiedBy>野村　葵_富山</cp:lastModifiedBy>
  <dcterms:created xsi:type="dcterms:W3CDTF">2015-06-05T18:19:34Z</dcterms:created>
  <dcterms:modified xsi:type="dcterms:W3CDTF">2026-06-14T10:56:54Z</dcterms:modified>
</cp:coreProperties>
</file>